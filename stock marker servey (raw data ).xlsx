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nus\Downloads\"/>
    </mc:Choice>
  </mc:AlternateContent>
  <xr:revisionPtr revIDLastSave="0" documentId="13_ncr:1_{3908A7A5-6C57-4C26-9A2C-3ACBE4E162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3" r:id="rId1"/>
    <sheet name="Sheet5" sheetId="6" r:id="rId2"/>
    <sheet name="Sheet6" sheetId="7" r:id="rId3"/>
    <sheet name="Sheet1" sheetId="2" r:id="rId4"/>
    <sheet name="Sheet3" sheetId="8" r:id="rId5"/>
    <sheet name="Sheet4" sheetId="9" r:id="rId6"/>
  </sheets>
  <definedNames>
    <definedName name="_xlnm._FilterDatabase" localSheetId="3" hidden="1">Sheet1!$B$1:$B$68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Sheet1!$F$40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9" l="1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3" i="9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Q19" i="2" l="1"/>
  <c r="Q46" i="2"/>
  <c r="Q47" i="2"/>
  <c r="Q48" i="2"/>
  <c r="Q20" i="2"/>
  <c r="Q21" i="2"/>
  <c r="Q49" i="2"/>
  <c r="Q50" i="2"/>
  <c r="Q22" i="2"/>
  <c r="Q23" i="2"/>
  <c r="Q51" i="2"/>
  <c r="Q52" i="2"/>
  <c r="Q53" i="2"/>
  <c r="Q54" i="2"/>
  <c r="Q55" i="2"/>
  <c r="Q24" i="2"/>
  <c r="Q56" i="2"/>
  <c r="Q57" i="2"/>
  <c r="Q25" i="2"/>
  <c r="Q58" i="2"/>
  <c r="Q59" i="2"/>
  <c r="Q60" i="2"/>
  <c r="Q26" i="2"/>
  <c r="Q27" i="2"/>
  <c r="Q28" i="2"/>
  <c r="Q61" i="2"/>
  <c r="Q62" i="2"/>
  <c r="Q29" i="2"/>
  <c r="Q30" i="2"/>
  <c r="Q63" i="2"/>
  <c r="Q31" i="2"/>
  <c r="Q64" i="2"/>
  <c r="Q65" i="2"/>
  <c r="Q32" i="2"/>
  <c r="Q66" i="2"/>
  <c r="Q67" i="2"/>
  <c r="Q33" i="2"/>
  <c r="Q68" i="2"/>
  <c r="Q42" i="2"/>
  <c r="Q11" i="2"/>
  <c r="Q12" i="2"/>
  <c r="Q43" i="2"/>
  <c r="Q13" i="2"/>
  <c r="Q44" i="2"/>
  <c r="Q14" i="2"/>
  <c r="Q45" i="2"/>
  <c r="Q15" i="2"/>
  <c r="Q16" i="2"/>
  <c r="Q17" i="2"/>
  <c r="Q18" i="2"/>
  <c r="Q7" i="2"/>
  <c r="Q8" i="2"/>
  <c r="Q9" i="2"/>
  <c r="Q10" i="2"/>
  <c r="Q40" i="2"/>
  <c r="Q41" i="2"/>
  <c r="Q4" i="2"/>
  <c r="Q5" i="2"/>
  <c r="Q6" i="2"/>
  <c r="Q38" i="2"/>
  <c r="Q39" i="2"/>
  <c r="Q35" i="2"/>
  <c r="Q36" i="2"/>
  <c r="Q37" i="2"/>
  <c r="Q3" i="2"/>
  <c r="Q34" i="2"/>
</calcChain>
</file>

<file path=xl/sharedStrings.xml><?xml version="1.0" encoding="utf-8"?>
<sst xmlns="http://schemas.openxmlformats.org/spreadsheetml/2006/main" count="1542" uniqueCount="125">
  <si>
    <t>Gender</t>
  </si>
  <si>
    <t>Age</t>
  </si>
  <si>
    <t>Female</t>
  </si>
  <si>
    <t>cautious</t>
  </si>
  <si>
    <t>$1000 in cash</t>
  </si>
  <si>
    <t>Cancel the vacation</t>
  </si>
  <si>
    <t>Deposit it in a bank account, money market account, or insured CD</t>
  </si>
  <si>
    <t>Somewhat comfortable</t>
  </si>
  <si>
    <t>Uncertainty</t>
  </si>
  <si>
    <t>Sell the bonds, put half the proceeds into money market accounts, and the other half into hard assets</t>
  </si>
  <si>
    <t>$2,600 gain best case; $800 loss worst case</t>
  </si>
  <si>
    <t>A 50% chance to gain $1,000 and a 50% chance to gain nothing</t>
  </si>
  <si>
    <t>A sure loss of $500</t>
  </si>
  <si>
    <t>A savings account or money market mutual fund</t>
  </si>
  <si>
    <t>60% low-risk, 30% medium-risk, 10% high-risk</t>
  </si>
  <si>
    <t>One month’s salary</t>
  </si>
  <si>
    <t>a real gambler</t>
  </si>
  <si>
    <t>A 50% chance at winning $5,000</t>
  </si>
  <si>
    <t>Take a much more modest vacation</t>
  </si>
  <si>
    <t>Invest it in safe high-quality bonds or bond mutual funds</t>
  </si>
  <si>
    <t>Opportunity</t>
  </si>
  <si>
    <t>$800 gain best case; $200 loss worst case</t>
  </si>
  <si>
    <t>A sure gain of $500</t>
  </si>
  <si>
    <t>A 50% chance to lose $1,000 and a 50% chance to lose nothing</t>
  </si>
  <si>
    <t>A mutual fund that owns stocks and bonds</t>
  </si>
  <si>
    <t>30% low-risk, 40% medium-risk, 30% high-risk</t>
  </si>
  <si>
    <t>Male</t>
  </si>
  <si>
    <t>Willing to take risks after completing adequate research</t>
  </si>
  <si>
    <t>Invest it in stocks or stock mutual funds</t>
  </si>
  <si>
    <t>Loss</t>
  </si>
  <si>
    <t>Hold the bonds</t>
  </si>
  <si>
    <t>$200 gain best case; $0 gain/loss worst case</t>
  </si>
  <si>
    <t>Nothing</t>
  </si>
  <si>
    <t>Not at all comfortable</t>
  </si>
  <si>
    <t>A 5% chance at winning $100,000</t>
  </si>
  <si>
    <t>Go as scheduled, reasoning that you need the time to prepare for a job search</t>
  </si>
  <si>
    <t>Thrill</t>
  </si>
  <si>
    <t>A portfolio of 15 common stocks</t>
  </si>
  <si>
    <t>A 25% chance at winning $10,000</t>
  </si>
  <si>
    <t>Sell the bonds and put the total proceeds into hard assets</t>
  </si>
  <si>
    <t>Three months’ salary</t>
  </si>
  <si>
    <t>a real risk  avoider</t>
  </si>
  <si>
    <t>Sell the bonds, put all the money into hard assets, and borrow additional money to buy more</t>
  </si>
  <si>
    <t>Extend your vacation, because this might be your last chance to go first-class</t>
  </si>
  <si>
    <t>$4,800 gain best case; $2,400 loss worst case</t>
  </si>
  <si>
    <t>Commodities like gold, silver, and oil</t>
  </si>
  <si>
    <t>Very comfortable</t>
  </si>
  <si>
    <t>10% low-risk, 40% medium-risk, 50% high-risk</t>
  </si>
  <si>
    <t>Six months’ salary</t>
  </si>
  <si>
    <t>Income(Per Month)</t>
  </si>
  <si>
    <t xml:space="preserve">In general, how would your best friend describe you as a risk taker? </t>
  </si>
  <si>
    <t xml:space="preserve">You are on a TV game show and can choose one of the following; which would you take?   </t>
  </si>
  <si>
    <t xml:space="preserve">You have just finished saving for a “once-in-a-lifetime” vacation. Three weeks before you plan to leave, you lose your job. You would:   </t>
  </si>
  <si>
    <t xml:space="preserve">If you unexpectedly received $20,000 to invest, what would you do?   </t>
  </si>
  <si>
    <t xml:space="preserve">In terms of experience, how comfortable are you investing in stocks or stock mutual funds?  </t>
  </si>
  <si>
    <t xml:space="preserve">When you think of the word “risk,” which of the following words comes to mind first?   </t>
  </si>
  <si>
    <t xml:space="preserve">Some experts are predicting prices of assets such as gold, jewels, collectibles, and real estate (hard assets) to increase in value; bond prices may fall, however, experts tend to agree that government bonds are relatively safe. Most of your investment assets are now in high-interest government bonds. What would you do?  </t>
  </si>
  <si>
    <t xml:space="preserve">Given the best and worst case returns of the four investment choices below, which would you prefer?  </t>
  </si>
  <si>
    <t xml:space="preserve">In addition to whatever you own, you have been given $1,000. You are now asked to choose between:  </t>
  </si>
  <si>
    <t xml:space="preserve">In addition to whatever you own, you have been given $2,000. You are now asked to choose between  </t>
  </si>
  <si>
    <t xml:space="preserve">Suppose a relative left you an inheritance of $100,000, stipulating in the will that you invest ALL the money in ONE of the following choices. Which one would you select?  </t>
  </si>
  <si>
    <t xml:space="preserve">If you had to invest $20,000, which of the following investment choices would you find most appealing?  </t>
  </si>
  <si>
    <t xml:space="preserve">Your trusted friend and neighbor, an experienced geologist, is putting together a group of investors to fund an exploratory gold mining venture. The venture could pay back 50 to 100 times the investment if successful. If the mine is a bust, the entire investment is worthless. Your friend estimates the chance of success is only 20%. If you had the money, how much would you invest?   </t>
  </si>
  <si>
    <t>&lt;18-30</t>
  </si>
  <si>
    <t>&lt;10k-20k</t>
  </si>
  <si>
    <t>$800 gain best case, $200 loss worst case</t>
  </si>
  <si>
    <t>A 50% chance to gain $1,000 and a 50% chance to gain nothing.</t>
  </si>
  <si>
    <t>A 50% chance to lose $1,000 and a 50% chance to lose nothing.</t>
  </si>
  <si>
    <t>30% in low-risk investments, 40% in medium-risk investments, 30% in high-risk investments</t>
  </si>
  <si>
    <t>$1,000 in cash</t>
  </si>
  <si>
    <t>$2,600 gain best case, $800 loss worst case</t>
  </si>
  <si>
    <t>31-40</t>
  </si>
  <si>
    <t>A real gambler</t>
  </si>
  <si>
    <t>10% in low-risk investments, 40% in medium-risk investments, 50% in high-risk investments</t>
  </si>
  <si>
    <t>51k-60k&gt;</t>
  </si>
  <si>
    <t>Very Comfortable</t>
  </si>
  <si>
    <t>60% in low-risk investments, 30% in medium-risk investments, 10% in high-risk investments</t>
  </si>
  <si>
    <t>A real risk avoider</t>
  </si>
  <si>
    <t>41k-60k</t>
  </si>
  <si>
    <t>21k-40k</t>
  </si>
  <si>
    <t>51-&gt;60</t>
  </si>
  <si>
    <t>41-50</t>
  </si>
  <si>
    <t>&gt;60k</t>
  </si>
  <si>
    <t>sum</t>
  </si>
  <si>
    <t>c</t>
  </si>
  <si>
    <t>age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</si>
  <si>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</si>
  <si>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</si>
  <si>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</si>
  <si>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</si>
  <si>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</si>
  <si>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</si>
  <si>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</si>
  <si>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</si>
  <si>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</si>
  <si>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</si>
  <si>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</si>
  <si>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male</t>
  </si>
  <si>
    <t>female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</si>
  <si>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</si>
  <si>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</si>
  <si>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</si>
  <si>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</si>
  <si>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</si>
  <si>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</si>
  <si>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</si>
  <si>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</si>
  <si>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</si>
  <si>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</si>
  <si>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</si>
  <si>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</si>
  <si>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</si>
  <si>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</si>
  <si>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</si>
  <si>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</si>
  <si>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000-20000</t>
  </si>
  <si>
    <t>21000-40000</t>
  </si>
  <si>
    <t>41000-60000</t>
  </si>
  <si>
    <t>60000-100000</t>
  </si>
  <si>
    <t>51000-60000</t>
  </si>
  <si>
    <t>Mean Risk Score</t>
  </si>
  <si>
    <t>Standard Deviation</t>
  </si>
  <si>
    <t>F-statistic</t>
  </si>
  <si>
    <t>age group</t>
  </si>
  <si>
    <t>Income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</si>
</sst>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wrapText="1"/>
    </xf>
    <xf numFmtId="1" fontId="1" fillId="3" borderId="0" xfId="0" applyNumberFormat="1" applyFont="1" applyFill="1" applyAlignment="1">
      <alignment wrapText="1"/>
    </xf>
    <xf numFmtId="1" fontId="0" fillId="0" borderId="0" xfId="0" applyNumberFormat="1"/>
    <xf numFmtId="1" fontId="1" fillId="0" borderId="0" xfId="0" applyNumberFormat="1" applyFont="1"/>
    <xf numFmtId="1" fontId="0" fillId="0" borderId="0" xfId="0" applyNumberFormat="1" applyAlignment="1">
      <alignment wrapText="1"/>
    </xf>
    <xf numFmtId="1" fontId="1" fillId="0" borderId="0" xfId="0" applyNumberFormat="1" applyFont="1" applyAlignment="1">
      <alignment wrapText="1"/>
    </xf>
    <xf numFmtId="1" fontId="0" fillId="3" borderId="0" xfId="0" applyNumberFormat="1" applyFill="1" applyAlignment="1">
      <alignment wrapText="1"/>
    </xf>
    <xf numFmtId="1" fontId="0" fillId="3" borderId="0" xfId="0" applyNumberFormat="1" applyFill="1"/>
    <xf numFmtId="0" fontId="4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0" fontId="4" fillId="0" borderId="10" xfId="0" applyFont="1" applyBorder="1" applyAlignment="1">
      <alignment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minor"/>
      </font>
      <alignment horizontal="general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2AF84-AC63-4DD7-965F-0C906842D7A9}" name="Table1" displayName="Table1" ref="A17:F21" totalsRowShown="0" headerRowDxfId="0" dataDxfId="1" headerRowBorderDxfId="9" tableBorderDxfId="10" totalsRowBorderDxfId="8">
  <autoFilter ref="A17:F21" xr:uid="{F332AF84-AC63-4DD7-965F-0C906842D7A9}"/>
  <tableColumns count="6">
    <tableColumn id="1" xr3:uid="{34ECDC09-A090-4C38-A2C5-4D6057C46C31}" name="age group" dataDxfId="7"/>
    <tableColumn id="2" xr3:uid="{5B5D30C5-150B-4B8C-8369-D4ECBAD1C779}" name="Count" dataDxfId="6"/>
    <tableColumn id="3" xr3:uid="{A7165522-7837-4BEE-9597-D4FD4136E1A8}" name="Mean Risk Score" dataDxfId="5"/>
    <tableColumn id="4" xr3:uid="{7A0BFFF5-407E-433E-81FA-09F70281BF7E}" name="Standard Deviation" dataDxfId="4"/>
    <tableColumn id="5" xr3:uid="{AD819056-304B-4E98-B0AC-5A67817394BA}" name="F-statistic" dataDxfId="3"/>
    <tableColumn id="6" xr3:uid="{A369C8D4-050F-44A1-ABA3-7524E6B6A080}" name="P-valu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B406-2A2F-453F-BE55-594FF1ACC82B}">
  <dimension ref="A1:Q67"/>
  <sheetViews>
    <sheetView topLeftCell="K62" workbookViewId="0">
      <selection activeCell="R63" sqref="R63"/>
    </sheetView>
  </sheetViews>
  <sheetFormatPr defaultRowHeight="12.5" x14ac:dyDescent="0.25"/>
  <cols>
    <col min="1" max="1" width="6.54296875" bestFit="1" customWidth="1"/>
    <col min="2" max="2" width="6.81640625" bestFit="1" customWidth="1"/>
    <col min="3" max="3" width="10.54296875" customWidth="1"/>
    <col min="4" max="4" width="14" customWidth="1"/>
    <col min="5" max="5" width="14.7265625" customWidth="1"/>
    <col min="6" max="6" width="17.6328125" customWidth="1"/>
    <col min="7" max="7" width="18.6328125" customWidth="1"/>
    <col min="8" max="8" width="17.26953125" customWidth="1"/>
    <col min="9" max="9" width="22.6328125" customWidth="1"/>
    <col min="10" max="10" width="22.54296875" customWidth="1"/>
    <col min="11" max="11" width="22.7265625" customWidth="1"/>
    <col min="12" max="12" width="20.54296875" customWidth="1"/>
    <col min="13" max="13" width="21.54296875" customWidth="1"/>
    <col min="14" max="14" width="19.26953125" customWidth="1"/>
    <col min="15" max="15" width="20.1796875" customWidth="1"/>
    <col min="16" max="16" width="21.1796875" customWidth="1"/>
  </cols>
  <sheetData>
    <row r="1" spans="1:17" s="3" customFormat="1" ht="140.5" customHeight="1" x14ac:dyDescent="0.25">
      <c r="A1" s="3" t="s">
        <v>84</v>
      </c>
      <c r="B1" s="3" t="s">
        <v>0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</row>
    <row r="2" spans="1:17" ht="62.5" x14ac:dyDescent="0.25">
      <c r="A2" s="2" t="s">
        <v>63</v>
      </c>
      <c r="B2" s="2" t="s">
        <v>26</v>
      </c>
      <c r="C2" s="2" t="s">
        <v>64</v>
      </c>
      <c r="D2" s="2" t="s">
        <v>27</v>
      </c>
      <c r="E2" s="2" t="s">
        <v>17</v>
      </c>
      <c r="F2" s="2" t="s">
        <v>18</v>
      </c>
      <c r="G2" s="2" t="s">
        <v>19</v>
      </c>
      <c r="H2" s="2" t="s">
        <v>7</v>
      </c>
      <c r="I2" s="2" t="s">
        <v>8</v>
      </c>
      <c r="J2" s="2" t="s">
        <v>9</v>
      </c>
      <c r="K2" s="2" t="s">
        <v>65</v>
      </c>
      <c r="L2" s="2" t="s">
        <v>66</v>
      </c>
      <c r="M2" s="2" t="s">
        <v>67</v>
      </c>
      <c r="N2" s="2" t="s">
        <v>24</v>
      </c>
      <c r="O2" s="2" t="s">
        <v>68</v>
      </c>
      <c r="P2" s="2" t="s">
        <v>15</v>
      </c>
      <c r="Q2" s="2"/>
    </row>
    <row r="3" spans="1:17" ht="62.5" x14ac:dyDescent="0.25">
      <c r="A3" s="2" t="s">
        <v>63</v>
      </c>
      <c r="B3" s="2" t="s">
        <v>26</v>
      </c>
      <c r="C3" s="2" t="s">
        <v>64</v>
      </c>
      <c r="D3" s="2" t="s">
        <v>27</v>
      </c>
      <c r="E3" s="2" t="s">
        <v>69</v>
      </c>
      <c r="F3" s="2" t="s">
        <v>18</v>
      </c>
      <c r="G3" s="2" t="s">
        <v>19</v>
      </c>
      <c r="H3" s="2" t="s">
        <v>7</v>
      </c>
      <c r="I3" s="2" t="s">
        <v>8</v>
      </c>
      <c r="J3" s="2" t="s">
        <v>9</v>
      </c>
      <c r="K3" s="2" t="s">
        <v>65</v>
      </c>
      <c r="L3" s="2" t="s">
        <v>22</v>
      </c>
      <c r="M3" s="2" t="s">
        <v>67</v>
      </c>
      <c r="N3" s="2" t="s">
        <v>24</v>
      </c>
      <c r="O3" s="2" t="s">
        <v>68</v>
      </c>
      <c r="P3" s="2" t="s">
        <v>15</v>
      </c>
      <c r="Q3" s="2"/>
    </row>
    <row r="4" spans="1:17" ht="62.5" x14ac:dyDescent="0.25">
      <c r="A4" s="2" t="s">
        <v>63</v>
      </c>
      <c r="B4" s="2" t="s">
        <v>26</v>
      </c>
      <c r="C4" s="2" t="s">
        <v>64</v>
      </c>
      <c r="D4" s="2" t="s">
        <v>27</v>
      </c>
      <c r="E4" s="2" t="s">
        <v>69</v>
      </c>
      <c r="F4" s="2" t="s">
        <v>18</v>
      </c>
      <c r="G4" s="2" t="s">
        <v>19</v>
      </c>
      <c r="H4" s="2" t="s">
        <v>7</v>
      </c>
      <c r="I4" s="2" t="s">
        <v>8</v>
      </c>
      <c r="J4" s="2" t="s">
        <v>9</v>
      </c>
      <c r="K4" s="2" t="s">
        <v>65</v>
      </c>
      <c r="L4" s="2" t="s">
        <v>66</v>
      </c>
      <c r="M4" s="2" t="s">
        <v>67</v>
      </c>
      <c r="N4" s="2" t="s">
        <v>24</v>
      </c>
      <c r="O4" s="2" t="s">
        <v>68</v>
      </c>
      <c r="P4" s="2" t="s">
        <v>15</v>
      </c>
      <c r="Q4" s="2"/>
    </row>
    <row r="5" spans="1:17" ht="62.5" x14ac:dyDescent="0.25">
      <c r="A5" s="2" t="s">
        <v>63</v>
      </c>
      <c r="B5" s="2" t="s">
        <v>26</v>
      </c>
      <c r="C5" s="2" t="s">
        <v>64</v>
      </c>
      <c r="D5" s="2" t="s">
        <v>27</v>
      </c>
      <c r="E5" s="2" t="s">
        <v>69</v>
      </c>
      <c r="F5" s="2" t="s">
        <v>18</v>
      </c>
      <c r="G5" s="2" t="s">
        <v>28</v>
      </c>
      <c r="H5" s="2" t="s">
        <v>33</v>
      </c>
      <c r="I5" s="2" t="s">
        <v>8</v>
      </c>
      <c r="J5" s="2" t="s">
        <v>30</v>
      </c>
      <c r="K5" s="2" t="s">
        <v>70</v>
      </c>
      <c r="L5" s="2" t="s">
        <v>66</v>
      </c>
      <c r="M5" s="2" t="s">
        <v>67</v>
      </c>
      <c r="N5" s="2" t="s">
        <v>45</v>
      </c>
      <c r="O5" s="2" t="s">
        <v>68</v>
      </c>
      <c r="P5" s="2" t="s">
        <v>15</v>
      </c>
      <c r="Q5" s="2"/>
    </row>
    <row r="6" spans="1:17" ht="62.5" x14ac:dyDescent="0.25">
      <c r="A6" s="2" t="s">
        <v>71</v>
      </c>
      <c r="B6" s="2" t="s">
        <v>2</v>
      </c>
      <c r="C6" s="2" t="s">
        <v>64</v>
      </c>
      <c r="D6" s="2" t="s">
        <v>27</v>
      </c>
      <c r="E6" s="2" t="s">
        <v>17</v>
      </c>
      <c r="F6" s="2" t="s">
        <v>18</v>
      </c>
      <c r="G6" s="2" t="s">
        <v>19</v>
      </c>
      <c r="H6" s="2" t="s">
        <v>7</v>
      </c>
      <c r="I6" s="2" t="s">
        <v>8</v>
      </c>
      <c r="J6" s="2" t="s">
        <v>9</v>
      </c>
      <c r="K6" s="2" t="s">
        <v>65</v>
      </c>
      <c r="L6" s="2" t="s">
        <v>66</v>
      </c>
      <c r="M6" s="2" t="s">
        <v>67</v>
      </c>
      <c r="N6" s="2" t="s">
        <v>37</v>
      </c>
      <c r="O6" s="2" t="s">
        <v>68</v>
      </c>
      <c r="P6" s="2" t="s">
        <v>15</v>
      </c>
      <c r="Q6" s="2"/>
    </row>
    <row r="7" spans="1:17" ht="62.5" x14ac:dyDescent="0.25">
      <c r="A7" s="2" t="s">
        <v>63</v>
      </c>
      <c r="B7" s="2" t="s">
        <v>2</v>
      </c>
      <c r="C7" s="2" t="s">
        <v>64</v>
      </c>
      <c r="D7" s="2" t="s">
        <v>72</v>
      </c>
      <c r="E7" s="2" t="s">
        <v>34</v>
      </c>
      <c r="F7" s="2" t="s">
        <v>18</v>
      </c>
      <c r="G7" s="2" t="s">
        <v>6</v>
      </c>
      <c r="H7" s="2" t="s">
        <v>33</v>
      </c>
      <c r="I7" s="2" t="s">
        <v>20</v>
      </c>
      <c r="J7" s="2" t="s">
        <v>30</v>
      </c>
      <c r="K7" s="2" t="s">
        <v>31</v>
      </c>
      <c r="L7" s="2" t="s">
        <v>66</v>
      </c>
      <c r="M7" s="2" t="s">
        <v>12</v>
      </c>
      <c r="N7" s="2" t="s">
        <v>13</v>
      </c>
      <c r="O7" s="2" t="s">
        <v>73</v>
      </c>
      <c r="P7" s="2" t="s">
        <v>15</v>
      </c>
      <c r="Q7" s="2"/>
    </row>
    <row r="8" spans="1:17" ht="62.5" x14ac:dyDescent="0.25">
      <c r="A8" s="2" t="s">
        <v>63</v>
      </c>
      <c r="B8" s="2" t="s">
        <v>2</v>
      </c>
      <c r="C8" s="2" t="s">
        <v>64</v>
      </c>
      <c r="D8" s="2" t="s">
        <v>27</v>
      </c>
      <c r="E8" s="2" t="s">
        <v>38</v>
      </c>
      <c r="F8" s="2" t="s">
        <v>18</v>
      </c>
      <c r="G8" s="2" t="s">
        <v>28</v>
      </c>
      <c r="H8" s="2" t="s">
        <v>7</v>
      </c>
      <c r="I8" s="2" t="s">
        <v>20</v>
      </c>
      <c r="J8" s="2" t="s">
        <v>9</v>
      </c>
      <c r="K8" s="2" t="s">
        <v>70</v>
      </c>
      <c r="L8" s="2" t="s">
        <v>66</v>
      </c>
      <c r="M8" s="2" t="s">
        <v>67</v>
      </c>
      <c r="N8" s="2" t="s">
        <v>45</v>
      </c>
      <c r="O8" s="2" t="s">
        <v>68</v>
      </c>
      <c r="P8" s="2" t="s">
        <v>15</v>
      </c>
      <c r="Q8" s="2"/>
    </row>
    <row r="9" spans="1:17" ht="62.5" x14ac:dyDescent="0.25">
      <c r="A9" s="2" t="s">
        <v>63</v>
      </c>
      <c r="B9" s="2" t="s">
        <v>2</v>
      </c>
      <c r="C9" s="2" t="s">
        <v>74</v>
      </c>
      <c r="D9" s="2" t="s">
        <v>27</v>
      </c>
      <c r="E9" s="2" t="s">
        <v>34</v>
      </c>
      <c r="F9" s="2" t="s">
        <v>35</v>
      </c>
      <c r="G9" s="2" t="s">
        <v>28</v>
      </c>
      <c r="H9" s="2" t="s">
        <v>75</v>
      </c>
      <c r="I9" s="2" t="s">
        <v>8</v>
      </c>
      <c r="J9" s="2" t="s">
        <v>39</v>
      </c>
      <c r="K9" s="2" t="s">
        <v>31</v>
      </c>
      <c r="L9" s="2" t="s">
        <v>22</v>
      </c>
      <c r="M9" s="2" t="s">
        <v>67</v>
      </c>
      <c r="N9" s="2" t="s">
        <v>13</v>
      </c>
      <c r="O9" s="2" t="s">
        <v>76</v>
      </c>
      <c r="P9" s="2" t="s">
        <v>15</v>
      </c>
      <c r="Q9" s="2"/>
    </row>
    <row r="10" spans="1:17" ht="62.5" x14ac:dyDescent="0.25">
      <c r="A10" s="2" t="s">
        <v>63</v>
      </c>
      <c r="B10" s="2" t="s">
        <v>26</v>
      </c>
      <c r="C10" s="2" t="s">
        <v>64</v>
      </c>
      <c r="D10" s="2" t="s">
        <v>72</v>
      </c>
      <c r="E10" s="2" t="s">
        <v>69</v>
      </c>
      <c r="F10" s="2" t="s">
        <v>35</v>
      </c>
      <c r="G10" s="2" t="s">
        <v>6</v>
      </c>
      <c r="H10" s="2" t="s">
        <v>75</v>
      </c>
      <c r="I10" s="2" t="s">
        <v>20</v>
      </c>
      <c r="J10" s="2" t="s">
        <v>39</v>
      </c>
      <c r="K10" s="2" t="s">
        <v>70</v>
      </c>
      <c r="L10" s="2" t="s">
        <v>22</v>
      </c>
      <c r="M10" s="2" t="s">
        <v>12</v>
      </c>
      <c r="N10" s="2" t="s">
        <v>37</v>
      </c>
      <c r="O10" s="2" t="s">
        <v>68</v>
      </c>
      <c r="P10" s="2" t="s">
        <v>15</v>
      </c>
      <c r="Q10" s="2"/>
    </row>
    <row r="11" spans="1:17" ht="62.5" x14ac:dyDescent="0.25">
      <c r="A11" s="2" t="s">
        <v>63</v>
      </c>
      <c r="B11" s="2" t="s">
        <v>26</v>
      </c>
      <c r="C11" s="2" t="s">
        <v>64</v>
      </c>
      <c r="D11" s="2" t="s">
        <v>77</v>
      </c>
      <c r="E11" s="2" t="s">
        <v>17</v>
      </c>
      <c r="F11" s="2" t="s">
        <v>18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65</v>
      </c>
      <c r="L11" s="2" t="s">
        <v>66</v>
      </c>
      <c r="M11" s="2" t="s">
        <v>67</v>
      </c>
      <c r="N11" s="2" t="s">
        <v>37</v>
      </c>
      <c r="O11" s="2" t="s">
        <v>68</v>
      </c>
      <c r="P11" s="2" t="s">
        <v>15</v>
      </c>
      <c r="Q11" s="2"/>
    </row>
    <row r="12" spans="1:17" ht="62.5" x14ac:dyDescent="0.25">
      <c r="A12" s="2" t="s">
        <v>63</v>
      </c>
      <c r="B12" s="2" t="s">
        <v>2</v>
      </c>
      <c r="C12" s="2" t="s">
        <v>74</v>
      </c>
      <c r="D12" s="2" t="s">
        <v>27</v>
      </c>
      <c r="E12" s="2" t="s">
        <v>34</v>
      </c>
      <c r="F12" s="2" t="s">
        <v>35</v>
      </c>
      <c r="G12" s="2" t="s">
        <v>19</v>
      </c>
      <c r="H12" s="2" t="s">
        <v>75</v>
      </c>
      <c r="I12" s="2" t="s">
        <v>8</v>
      </c>
      <c r="J12" s="2" t="s">
        <v>9</v>
      </c>
      <c r="K12" s="2" t="s">
        <v>31</v>
      </c>
      <c r="L12" s="2" t="s">
        <v>22</v>
      </c>
      <c r="M12" s="2" t="s">
        <v>67</v>
      </c>
      <c r="N12" s="2" t="s">
        <v>13</v>
      </c>
      <c r="O12" s="2" t="s">
        <v>76</v>
      </c>
      <c r="P12" s="2" t="s">
        <v>15</v>
      </c>
      <c r="Q12" s="2"/>
    </row>
    <row r="13" spans="1:17" ht="62.5" x14ac:dyDescent="0.25">
      <c r="A13" s="2" t="s">
        <v>63</v>
      </c>
      <c r="B13" s="2" t="s">
        <v>2</v>
      </c>
      <c r="C13" s="2" t="s">
        <v>64</v>
      </c>
      <c r="D13" s="2" t="s">
        <v>72</v>
      </c>
      <c r="E13" s="2" t="s">
        <v>17</v>
      </c>
      <c r="F13" s="2" t="s">
        <v>35</v>
      </c>
      <c r="G13" s="2" t="s">
        <v>19</v>
      </c>
      <c r="H13" s="2" t="s">
        <v>75</v>
      </c>
      <c r="I13" s="2" t="s">
        <v>8</v>
      </c>
      <c r="J13" s="2" t="s">
        <v>9</v>
      </c>
      <c r="K13" s="2" t="s">
        <v>31</v>
      </c>
      <c r="L13" s="2" t="s">
        <v>22</v>
      </c>
      <c r="M13" s="2" t="s">
        <v>67</v>
      </c>
      <c r="N13" s="2" t="s">
        <v>13</v>
      </c>
      <c r="O13" s="2" t="s">
        <v>68</v>
      </c>
      <c r="P13" s="2" t="s">
        <v>15</v>
      </c>
      <c r="Q13" s="2"/>
    </row>
    <row r="14" spans="1:17" ht="62.5" x14ac:dyDescent="0.25">
      <c r="A14" s="2" t="s">
        <v>63</v>
      </c>
      <c r="B14" s="2" t="s">
        <v>2</v>
      </c>
      <c r="C14" s="2" t="s">
        <v>64</v>
      </c>
      <c r="D14" s="2" t="s">
        <v>72</v>
      </c>
      <c r="E14" s="2" t="s">
        <v>17</v>
      </c>
      <c r="F14" s="2" t="s">
        <v>35</v>
      </c>
      <c r="G14" s="2" t="s">
        <v>19</v>
      </c>
      <c r="H14" s="2" t="s">
        <v>75</v>
      </c>
      <c r="I14" s="2" t="s">
        <v>8</v>
      </c>
      <c r="J14" s="2" t="s">
        <v>9</v>
      </c>
      <c r="K14" s="2" t="s">
        <v>31</v>
      </c>
      <c r="L14" s="2" t="s">
        <v>22</v>
      </c>
      <c r="M14" s="2" t="s">
        <v>67</v>
      </c>
      <c r="N14" s="2" t="s">
        <v>13</v>
      </c>
      <c r="O14" s="2" t="s">
        <v>68</v>
      </c>
      <c r="P14" s="2" t="s">
        <v>15</v>
      </c>
      <c r="Q14" s="2"/>
    </row>
    <row r="15" spans="1:17" ht="62.5" x14ac:dyDescent="0.25">
      <c r="A15" s="2" t="s">
        <v>63</v>
      </c>
      <c r="B15" s="2" t="s">
        <v>2</v>
      </c>
      <c r="C15" s="2" t="s">
        <v>64</v>
      </c>
      <c r="D15" s="2" t="s">
        <v>72</v>
      </c>
      <c r="E15" s="2" t="s">
        <v>17</v>
      </c>
      <c r="F15" s="2" t="s">
        <v>35</v>
      </c>
      <c r="G15" s="2" t="s">
        <v>19</v>
      </c>
      <c r="H15" s="2" t="s">
        <v>75</v>
      </c>
      <c r="I15" s="2" t="s">
        <v>8</v>
      </c>
      <c r="J15" s="2" t="s">
        <v>30</v>
      </c>
      <c r="K15" s="2" t="s">
        <v>31</v>
      </c>
      <c r="L15" s="2" t="s">
        <v>66</v>
      </c>
      <c r="M15" s="2" t="s">
        <v>12</v>
      </c>
      <c r="N15" s="2" t="s">
        <v>24</v>
      </c>
      <c r="O15" s="2" t="s">
        <v>68</v>
      </c>
      <c r="P15" s="2" t="s">
        <v>15</v>
      </c>
      <c r="Q15" s="2"/>
    </row>
    <row r="16" spans="1:17" ht="62.5" x14ac:dyDescent="0.25">
      <c r="A16" s="2" t="s">
        <v>63</v>
      </c>
      <c r="B16" s="2" t="s">
        <v>26</v>
      </c>
      <c r="C16" s="2" t="s">
        <v>64</v>
      </c>
      <c r="D16" s="2" t="s">
        <v>27</v>
      </c>
      <c r="E16" s="2" t="s">
        <v>69</v>
      </c>
      <c r="F16" s="2" t="s">
        <v>18</v>
      </c>
      <c r="G16" s="2" t="s">
        <v>28</v>
      </c>
      <c r="H16" s="2" t="s">
        <v>7</v>
      </c>
      <c r="I16" s="2" t="s">
        <v>8</v>
      </c>
      <c r="J16" s="2" t="s">
        <v>9</v>
      </c>
      <c r="K16" s="2" t="s">
        <v>65</v>
      </c>
      <c r="L16" s="2" t="s">
        <v>22</v>
      </c>
      <c r="M16" s="2" t="s">
        <v>12</v>
      </c>
      <c r="N16" s="2" t="s">
        <v>24</v>
      </c>
      <c r="O16" s="2" t="s">
        <v>68</v>
      </c>
      <c r="P16" s="2" t="s">
        <v>15</v>
      </c>
      <c r="Q16" s="2"/>
    </row>
    <row r="17" spans="1:17" ht="62.5" x14ac:dyDescent="0.25">
      <c r="A17" s="2" t="s">
        <v>63</v>
      </c>
      <c r="B17" s="2" t="s">
        <v>26</v>
      </c>
      <c r="C17" s="2" t="s">
        <v>64</v>
      </c>
      <c r="D17" s="2" t="s">
        <v>27</v>
      </c>
      <c r="E17" s="2" t="s">
        <v>17</v>
      </c>
      <c r="F17" s="2" t="s">
        <v>18</v>
      </c>
      <c r="G17" s="2" t="s">
        <v>19</v>
      </c>
      <c r="H17" s="2" t="s">
        <v>7</v>
      </c>
      <c r="I17" s="2" t="s">
        <v>8</v>
      </c>
      <c r="J17" s="2" t="s">
        <v>9</v>
      </c>
      <c r="K17" s="2" t="s">
        <v>65</v>
      </c>
      <c r="L17" s="2" t="s">
        <v>22</v>
      </c>
      <c r="M17" s="2" t="s">
        <v>12</v>
      </c>
      <c r="N17" s="2" t="s">
        <v>24</v>
      </c>
      <c r="O17" s="2" t="s">
        <v>68</v>
      </c>
      <c r="P17" s="2" t="s">
        <v>15</v>
      </c>
      <c r="Q17" s="2"/>
    </row>
    <row r="18" spans="1:17" ht="62.5" x14ac:dyDescent="0.25">
      <c r="A18" s="2" t="s">
        <v>63</v>
      </c>
      <c r="B18" s="2" t="s">
        <v>26</v>
      </c>
      <c r="C18" s="2" t="s">
        <v>64</v>
      </c>
      <c r="D18" s="2" t="s">
        <v>27</v>
      </c>
      <c r="E18" s="2" t="s">
        <v>38</v>
      </c>
      <c r="F18" s="2" t="s">
        <v>35</v>
      </c>
      <c r="G18" s="2" t="s">
        <v>28</v>
      </c>
      <c r="H18" s="2" t="s">
        <v>75</v>
      </c>
      <c r="I18" s="2" t="s">
        <v>36</v>
      </c>
      <c r="J18" s="2" t="s">
        <v>42</v>
      </c>
      <c r="K18" s="2" t="s">
        <v>70</v>
      </c>
      <c r="L18" s="2" t="s">
        <v>66</v>
      </c>
      <c r="M18" s="2" t="s">
        <v>67</v>
      </c>
      <c r="N18" s="2" t="s">
        <v>37</v>
      </c>
      <c r="O18" s="2" t="s">
        <v>68</v>
      </c>
      <c r="P18" s="2" t="s">
        <v>15</v>
      </c>
      <c r="Q18" s="2"/>
    </row>
    <row r="19" spans="1:17" ht="50" x14ac:dyDescent="0.25">
      <c r="A19" s="2" t="s">
        <v>63</v>
      </c>
      <c r="B19" s="2" t="s">
        <v>2</v>
      </c>
      <c r="C19" s="2" t="s">
        <v>64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  <c r="P19" s="2" t="s">
        <v>15</v>
      </c>
      <c r="Q19" s="2"/>
    </row>
    <row r="20" spans="1:17" ht="50" x14ac:dyDescent="0.25">
      <c r="A20" s="2" t="s">
        <v>63</v>
      </c>
      <c r="B20" s="2" t="s">
        <v>2</v>
      </c>
      <c r="C20" s="2" t="s">
        <v>64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7</v>
      </c>
      <c r="I20" s="2" t="s">
        <v>20</v>
      </c>
      <c r="J20" s="2" t="s">
        <v>9</v>
      </c>
      <c r="K20" s="2" t="s">
        <v>21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15</v>
      </c>
      <c r="Q20" s="2"/>
    </row>
    <row r="21" spans="1:17" ht="62.5" x14ac:dyDescent="0.25">
      <c r="A21" s="2" t="s">
        <v>71</v>
      </c>
      <c r="B21" s="2" t="s">
        <v>26</v>
      </c>
      <c r="C21" s="2" t="s">
        <v>78</v>
      </c>
      <c r="D21" s="2" t="s">
        <v>27</v>
      </c>
      <c r="E21" s="2" t="s">
        <v>4</v>
      </c>
      <c r="F21" s="2" t="s">
        <v>5</v>
      </c>
      <c r="G21" s="2" t="s">
        <v>28</v>
      </c>
      <c r="H21" s="2" t="s">
        <v>7</v>
      </c>
      <c r="I21" s="2" t="s">
        <v>29</v>
      </c>
      <c r="J21" s="2" t="s">
        <v>30</v>
      </c>
      <c r="K21" s="2" t="s">
        <v>31</v>
      </c>
      <c r="L21" s="2" t="s">
        <v>22</v>
      </c>
      <c r="M21" s="2" t="s">
        <v>23</v>
      </c>
      <c r="N21" s="2" t="s">
        <v>13</v>
      </c>
      <c r="O21" s="2" t="s">
        <v>14</v>
      </c>
      <c r="P21" s="2" t="s">
        <v>32</v>
      </c>
      <c r="Q21" s="2"/>
    </row>
    <row r="22" spans="1:17" ht="62.5" x14ac:dyDescent="0.25">
      <c r="A22" s="2" t="s">
        <v>71</v>
      </c>
      <c r="B22" s="2" t="s">
        <v>2</v>
      </c>
      <c r="C22" s="2" t="s">
        <v>79</v>
      </c>
      <c r="D22" s="2" t="s">
        <v>27</v>
      </c>
      <c r="E22" s="2" t="s">
        <v>4</v>
      </c>
      <c r="F22" s="2" t="s">
        <v>18</v>
      </c>
      <c r="G22" s="2" t="s">
        <v>6</v>
      </c>
      <c r="H22" s="2" t="s">
        <v>33</v>
      </c>
      <c r="I22" s="2" t="s">
        <v>8</v>
      </c>
      <c r="J22" s="2" t="s">
        <v>30</v>
      </c>
      <c r="K22" s="2" t="s">
        <v>31</v>
      </c>
      <c r="L22" s="2" t="s">
        <v>22</v>
      </c>
      <c r="M22" s="2" t="s">
        <v>12</v>
      </c>
      <c r="N22" s="2" t="s">
        <v>24</v>
      </c>
      <c r="O22" s="2" t="s">
        <v>25</v>
      </c>
      <c r="P22" s="2" t="s">
        <v>32</v>
      </c>
      <c r="Q22" s="2"/>
    </row>
    <row r="23" spans="1:17" ht="62.5" x14ac:dyDescent="0.25">
      <c r="A23" s="2" t="s">
        <v>63</v>
      </c>
      <c r="B23" s="2" t="s">
        <v>26</v>
      </c>
      <c r="C23" s="2" t="s">
        <v>64</v>
      </c>
      <c r="D23" s="2" t="s">
        <v>27</v>
      </c>
      <c r="E23" s="2" t="s">
        <v>34</v>
      </c>
      <c r="F23" s="2" t="s">
        <v>35</v>
      </c>
      <c r="G23" s="2" t="s">
        <v>19</v>
      </c>
      <c r="H23" s="2" t="s">
        <v>7</v>
      </c>
      <c r="I23" s="2" t="s">
        <v>36</v>
      </c>
      <c r="J23" s="2" t="s">
        <v>30</v>
      </c>
      <c r="K23" s="2" t="s">
        <v>31</v>
      </c>
      <c r="L23" s="2" t="s">
        <v>22</v>
      </c>
      <c r="M23" s="2" t="s">
        <v>23</v>
      </c>
      <c r="N23" s="2" t="s">
        <v>37</v>
      </c>
      <c r="O23" s="2" t="s">
        <v>25</v>
      </c>
      <c r="P23" s="2" t="s">
        <v>32</v>
      </c>
      <c r="Q23" s="2"/>
    </row>
    <row r="24" spans="1:17" ht="62.5" x14ac:dyDescent="0.25">
      <c r="A24" s="2" t="s">
        <v>71</v>
      </c>
      <c r="B24" s="2" t="s">
        <v>2</v>
      </c>
      <c r="C24" s="2" t="s">
        <v>79</v>
      </c>
      <c r="D24" s="2" t="s">
        <v>27</v>
      </c>
      <c r="E24" s="2" t="s">
        <v>4</v>
      </c>
      <c r="F24" s="2" t="s">
        <v>18</v>
      </c>
      <c r="G24" s="2" t="s">
        <v>6</v>
      </c>
      <c r="H24" s="2" t="s">
        <v>33</v>
      </c>
      <c r="I24" s="2" t="s">
        <v>8</v>
      </c>
      <c r="J24" s="2" t="s">
        <v>9</v>
      </c>
      <c r="K24" s="2" t="s">
        <v>31</v>
      </c>
      <c r="L24" s="2" t="s">
        <v>11</v>
      </c>
      <c r="M24" s="2" t="s">
        <v>12</v>
      </c>
      <c r="N24" s="2" t="s">
        <v>24</v>
      </c>
      <c r="O24" s="2" t="s">
        <v>25</v>
      </c>
      <c r="P24" s="2" t="s">
        <v>15</v>
      </c>
      <c r="Q24" s="2"/>
    </row>
    <row r="25" spans="1:17" ht="62.5" x14ac:dyDescent="0.25">
      <c r="A25" s="2" t="s">
        <v>63</v>
      </c>
      <c r="B25" s="2" t="s">
        <v>26</v>
      </c>
      <c r="C25" s="2" t="s">
        <v>64</v>
      </c>
      <c r="D25" s="2" t="s">
        <v>27</v>
      </c>
      <c r="E25" s="2" t="s">
        <v>38</v>
      </c>
      <c r="F25" s="2" t="s">
        <v>18</v>
      </c>
      <c r="G25" s="2" t="s">
        <v>19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23</v>
      </c>
      <c r="N25" s="2" t="s">
        <v>24</v>
      </c>
      <c r="O25" s="2" t="s">
        <v>25</v>
      </c>
      <c r="P25" s="2" t="s">
        <v>15</v>
      </c>
      <c r="Q25" s="2"/>
    </row>
    <row r="26" spans="1:17" ht="62.5" x14ac:dyDescent="0.25">
      <c r="A26" s="2" t="s">
        <v>80</v>
      </c>
      <c r="B26" s="2" t="s">
        <v>2</v>
      </c>
      <c r="C26" s="2" t="s">
        <v>79</v>
      </c>
      <c r="D26" s="2" t="s">
        <v>3</v>
      </c>
      <c r="E26" s="2" t="s">
        <v>38</v>
      </c>
      <c r="F26" s="2" t="s">
        <v>35</v>
      </c>
      <c r="G26" s="2" t="s">
        <v>19</v>
      </c>
      <c r="H26" s="2" t="s">
        <v>7</v>
      </c>
      <c r="I26" s="2" t="s">
        <v>20</v>
      </c>
      <c r="J26" s="2" t="s">
        <v>39</v>
      </c>
      <c r="K26" s="2" t="s">
        <v>21</v>
      </c>
      <c r="L26" s="2" t="s">
        <v>22</v>
      </c>
      <c r="M26" s="2" t="s">
        <v>23</v>
      </c>
      <c r="N26" s="2" t="s">
        <v>37</v>
      </c>
      <c r="O26" s="2" t="s">
        <v>14</v>
      </c>
      <c r="P26" s="2" t="s">
        <v>40</v>
      </c>
      <c r="Q26" s="2"/>
    </row>
    <row r="27" spans="1:17" ht="50" x14ac:dyDescent="0.25">
      <c r="A27" s="2" t="s">
        <v>63</v>
      </c>
      <c r="B27" s="2" t="s">
        <v>2</v>
      </c>
      <c r="C27" s="2" t="s">
        <v>64</v>
      </c>
      <c r="D27" s="2" t="s">
        <v>41</v>
      </c>
      <c r="E27" s="2" t="s">
        <v>4</v>
      </c>
      <c r="F27" s="2" t="s">
        <v>5</v>
      </c>
      <c r="G27" s="2" t="s">
        <v>6</v>
      </c>
      <c r="H27" s="2" t="s">
        <v>33</v>
      </c>
      <c r="I27" s="2" t="s">
        <v>8</v>
      </c>
      <c r="J27" s="2" t="s">
        <v>42</v>
      </c>
      <c r="K27" s="2" t="s">
        <v>31</v>
      </c>
      <c r="L27" s="2" t="s">
        <v>22</v>
      </c>
      <c r="M27" s="2" t="s">
        <v>12</v>
      </c>
      <c r="N27" s="2" t="s">
        <v>13</v>
      </c>
      <c r="O27" s="2" t="s">
        <v>14</v>
      </c>
      <c r="P27" s="2" t="s">
        <v>15</v>
      </c>
      <c r="Q27" s="2"/>
    </row>
    <row r="28" spans="1:17" ht="62.5" x14ac:dyDescent="0.25">
      <c r="A28" s="2" t="s">
        <v>63</v>
      </c>
      <c r="B28" s="2" t="s">
        <v>2</v>
      </c>
      <c r="C28" s="2" t="s">
        <v>64</v>
      </c>
      <c r="D28" s="2" t="s">
        <v>41</v>
      </c>
      <c r="E28" s="2" t="s">
        <v>4</v>
      </c>
      <c r="F28" s="2" t="s">
        <v>43</v>
      </c>
      <c r="G28" s="2" t="s">
        <v>6</v>
      </c>
      <c r="H28" s="2" t="s">
        <v>33</v>
      </c>
      <c r="I28" s="2" t="s">
        <v>8</v>
      </c>
      <c r="J28" s="2" t="s">
        <v>30</v>
      </c>
      <c r="K28" s="2" t="s">
        <v>44</v>
      </c>
      <c r="L28" s="2" t="s">
        <v>11</v>
      </c>
      <c r="M28" s="2" t="s">
        <v>23</v>
      </c>
      <c r="N28" s="2" t="s">
        <v>13</v>
      </c>
      <c r="O28" s="2" t="s">
        <v>14</v>
      </c>
      <c r="P28" s="2" t="s">
        <v>15</v>
      </c>
      <c r="Q28" s="2"/>
    </row>
    <row r="29" spans="1:17" ht="62.5" x14ac:dyDescent="0.25">
      <c r="A29" s="2" t="s">
        <v>63</v>
      </c>
      <c r="B29" s="2" t="s">
        <v>2</v>
      </c>
      <c r="C29" s="2" t="s">
        <v>64</v>
      </c>
      <c r="D29" s="2" t="s">
        <v>41</v>
      </c>
      <c r="E29" s="2" t="s">
        <v>4</v>
      </c>
      <c r="F29" s="2" t="s">
        <v>43</v>
      </c>
      <c r="G29" s="2" t="s">
        <v>6</v>
      </c>
      <c r="H29" s="2" t="s">
        <v>33</v>
      </c>
      <c r="I29" s="2" t="s">
        <v>29</v>
      </c>
      <c r="J29" s="2" t="s">
        <v>30</v>
      </c>
      <c r="K29" s="2" t="s">
        <v>31</v>
      </c>
      <c r="L29" s="2" t="s">
        <v>22</v>
      </c>
      <c r="M29" s="2" t="s">
        <v>23</v>
      </c>
      <c r="N29" s="2" t="s">
        <v>13</v>
      </c>
      <c r="O29" s="2" t="s">
        <v>14</v>
      </c>
      <c r="P29" s="2" t="s">
        <v>15</v>
      </c>
      <c r="Q29" s="2"/>
    </row>
    <row r="30" spans="1:17" ht="37.5" x14ac:dyDescent="0.25">
      <c r="A30" s="2" t="s">
        <v>71</v>
      </c>
      <c r="B30" s="2" t="s">
        <v>2</v>
      </c>
      <c r="C30" s="2" t="s">
        <v>79</v>
      </c>
      <c r="D30" s="2" t="s">
        <v>3</v>
      </c>
      <c r="E30" s="2" t="s">
        <v>34</v>
      </c>
      <c r="F30" s="2" t="s">
        <v>18</v>
      </c>
      <c r="G30" s="2" t="s">
        <v>28</v>
      </c>
      <c r="H30" s="2" t="s">
        <v>33</v>
      </c>
      <c r="I30" s="2" t="s">
        <v>20</v>
      </c>
      <c r="J30" s="2" t="s">
        <v>39</v>
      </c>
      <c r="K30" s="2" t="s">
        <v>10</v>
      </c>
      <c r="L30" s="2" t="s">
        <v>11</v>
      </c>
      <c r="M30" s="2" t="s">
        <v>23</v>
      </c>
      <c r="N30" s="2" t="s">
        <v>37</v>
      </c>
      <c r="O30" s="2" t="s">
        <v>25</v>
      </c>
      <c r="P30" s="2" t="s">
        <v>15</v>
      </c>
      <c r="Q30" s="2"/>
    </row>
    <row r="31" spans="1:17" ht="62.5" x14ac:dyDescent="0.25">
      <c r="A31" s="2" t="s">
        <v>71</v>
      </c>
      <c r="B31" s="2" t="s">
        <v>26</v>
      </c>
      <c r="C31" s="2" t="s">
        <v>79</v>
      </c>
      <c r="D31" s="2" t="s">
        <v>27</v>
      </c>
      <c r="E31" s="2" t="s">
        <v>38</v>
      </c>
      <c r="F31" s="2" t="s">
        <v>35</v>
      </c>
      <c r="G31" s="2" t="s">
        <v>19</v>
      </c>
      <c r="H31" s="2" t="s">
        <v>33</v>
      </c>
      <c r="I31" s="2" t="s">
        <v>20</v>
      </c>
      <c r="J31" s="2" t="s">
        <v>9</v>
      </c>
      <c r="K31" s="2" t="s">
        <v>21</v>
      </c>
      <c r="L31" s="2" t="s">
        <v>22</v>
      </c>
      <c r="M31" s="2" t="s">
        <v>23</v>
      </c>
      <c r="N31" s="2" t="s">
        <v>24</v>
      </c>
      <c r="O31" s="2" t="s">
        <v>25</v>
      </c>
      <c r="P31" s="2" t="s">
        <v>40</v>
      </c>
      <c r="Q31" s="2"/>
    </row>
    <row r="32" spans="1:17" ht="62.5" x14ac:dyDescent="0.25">
      <c r="A32" s="2" t="s">
        <v>63</v>
      </c>
      <c r="B32" s="2" t="s">
        <v>26</v>
      </c>
      <c r="C32" s="2" t="s">
        <v>64</v>
      </c>
      <c r="D32" s="2" t="s">
        <v>27</v>
      </c>
      <c r="E32" s="2" t="s">
        <v>38</v>
      </c>
      <c r="F32" s="2" t="s">
        <v>35</v>
      </c>
      <c r="G32" s="2" t="s">
        <v>19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23</v>
      </c>
      <c r="N32" s="2" t="s">
        <v>24</v>
      </c>
      <c r="O32" s="2" t="s">
        <v>25</v>
      </c>
      <c r="P32" s="2" t="s">
        <v>15</v>
      </c>
      <c r="Q32" s="2"/>
    </row>
    <row r="33" spans="1:17" ht="37.5" x14ac:dyDescent="0.25">
      <c r="A33" s="2" t="s">
        <v>63</v>
      </c>
      <c r="B33" s="2" t="s">
        <v>26</v>
      </c>
      <c r="C33" s="2" t="s">
        <v>64</v>
      </c>
      <c r="D33" s="2" t="s">
        <v>41</v>
      </c>
      <c r="E33" s="2" t="s">
        <v>4</v>
      </c>
      <c r="F33" s="2" t="s">
        <v>18</v>
      </c>
      <c r="G33" s="2" t="s">
        <v>28</v>
      </c>
      <c r="H33" s="2" t="s">
        <v>7</v>
      </c>
      <c r="I33" s="2" t="s">
        <v>20</v>
      </c>
      <c r="J33" s="2" t="s">
        <v>39</v>
      </c>
      <c r="K33" s="2" t="s">
        <v>31</v>
      </c>
      <c r="L33" s="2" t="s">
        <v>22</v>
      </c>
      <c r="M33" s="2" t="s">
        <v>23</v>
      </c>
      <c r="N33" s="2" t="s">
        <v>24</v>
      </c>
      <c r="O33" s="2" t="s">
        <v>14</v>
      </c>
      <c r="P33" s="2" t="s">
        <v>32</v>
      </c>
      <c r="Q33" s="2"/>
    </row>
    <row r="34" spans="1:17" ht="62.5" x14ac:dyDescent="0.25">
      <c r="A34" s="2" t="s">
        <v>71</v>
      </c>
      <c r="B34" s="2" t="s">
        <v>2</v>
      </c>
      <c r="C34" s="2" t="s">
        <v>79</v>
      </c>
      <c r="D34" s="2" t="s">
        <v>27</v>
      </c>
      <c r="E34" s="2" t="s">
        <v>34</v>
      </c>
      <c r="F34" s="2" t="s">
        <v>35</v>
      </c>
      <c r="G34" s="2" t="s">
        <v>28</v>
      </c>
      <c r="H34" s="2" t="s">
        <v>7</v>
      </c>
      <c r="I34" s="2" t="s">
        <v>20</v>
      </c>
      <c r="J34" s="2" t="s">
        <v>39</v>
      </c>
      <c r="K34" s="2" t="s">
        <v>21</v>
      </c>
      <c r="L34" s="2" t="s">
        <v>11</v>
      </c>
      <c r="M34" s="2" t="s">
        <v>23</v>
      </c>
      <c r="N34" s="2" t="s">
        <v>24</v>
      </c>
      <c r="O34" s="2" t="s">
        <v>25</v>
      </c>
      <c r="P34" s="2" t="s">
        <v>15</v>
      </c>
      <c r="Q34" s="2"/>
    </row>
    <row r="35" spans="1:17" ht="37.5" x14ac:dyDescent="0.25">
      <c r="A35" s="2" t="s">
        <v>63</v>
      </c>
      <c r="B35" s="2" t="s">
        <v>2</v>
      </c>
      <c r="C35" s="2" t="s">
        <v>64</v>
      </c>
      <c r="D35" s="2" t="s">
        <v>3</v>
      </c>
      <c r="E35" s="2" t="s">
        <v>4</v>
      </c>
      <c r="F35" s="2" t="s">
        <v>5</v>
      </c>
      <c r="G35" s="2" t="s">
        <v>19</v>
      </c>
      <c r="H35" s="2" t="s">
        <v>33</v>
      </c>
      <c r="I35" s="2" t="s">
        <v>8</v>
      </c>
      <c r="J35" s="2" t="s">
        <v>30</v>
      </c>
      <c r="K35" s="2" t="s">
        <v>31</v>
      </c>
      <c r="L35" s="2" t="s">
        <v>11</v>
      </c>
      <c r="M35" s="2" t="s">
        <v>23</v>
      </c>
      <c r="N35" s="2" t="s">
        <v>24</v>
      </c>
      <c r="O35" s="2" t="s">
        <v>25</v>
      </c>
      <c r="P35" s="2" t="s">
        <v>15</v>
      </c>
      <c r="Q35" s="2"/>
    </row>
    <row r="36" spans="1:17" ht="62.5" x14ac:dyDescent="0.25">
      <c r="A36" s="2" t="s">
        <v>63</v>
      </c>
      <c r="B36" s="2" t="s">
        <v>26</v>
      </c>
      <c r="C36" s="2" t="s">
        <v>64</v>
      </c>
      <c r="D36" s="2" t="s">
        <v>3</v>
      </c>
      <c r="E36" s="2" t="s">
        <v>4</v>
      </c>
      <c r="F36" s="2" t="s">
        <v>35</v>
      </c>
      <c r="G36" s="2" t="s">
        <v>28</v>
      </c>
      <c r="H36" s="2" t="s">
        <v>7</v>
      </c>
      <c r="I36" s="2" t="s">
        <v>8</v>
      </c>
      <c r="J36" s="2" t="s">
        <v>30</v>
      </c>
      <c r="K36" s="2" t="s">
        <v>44</v>
      </c>
      <c r="L36" s="2" t="s">
        <v>22</v>
      </c>
      <c r="M36" s="2" t="s">
        <v>23</v>
      </c>
      <c r="N36" s="2" t="s">
        <v>45</v>
      </c>
      <c r="O36" s="2" t="s">
        <v>14</v>
      </c>
      <c r="P36" s="2" t="s">
        <v>15</v>
      </c>
      <c r="Q36" s="2"/>
    </row>
    <row r="37" spans="1:17" ht="62.5" x14ac:dyDescent="0.25">
      <c r="A37" s="2" t="s">
        <v>63</v>
      </c>
      <c r="B37" s="2" t="s">
        <v>26</v>
      </c>
      <c r="C37" s="2" t="s">
        <v>64</v>
      </c>
      <c r="D37" s="2" t="s">
        <v>27</v>
      </c>
      <c r="E37" s="2" t="s">
        <v>34</v>
      </c>
      <c r="F37" s="2" t="s">
        <v>43</v>
      </c>
      <c r="G37" s="2" t="s">
        <v>19</v>
      </c>
      <c r="H37" s="2" t="s">
        <v>7</v>
      </c>
      <c r="I37" s="2" t="s">
        <v>36</v>
      </c>
      <c r="J37" s="2" t="s">
        <v>9</v>
      </c>
      <c r="K37" s="2" t="s">
        <v>44</v>
      </c>
      <c r="L37" s="2" t="s">
        <v>22</v>
      </c>
      <c r="M37" s="2" t="s">
        <v>12</v>
      </c>
      <c r="N37" s="2" t="s">
        <v>45</v>
      </c>
      <c r="O37" s="2" t="s">
        <v>14</v>
      </c>
      <c r="P37" s="2" t="s">
        <v>15</v>
      </c>
      <c r="Q37" s="2"/>
    </row>
    <row r="38" spans="1:17" ht="62.5" x14ac:dyDescent="0.25">
      <c r="A38" s="2" t="s">
        <v>63</v>
      </c>
      <c r="B38" s="2" t="s">
        <v>2</v>
      </c>
      <c r="C38" s="2" t="s">
        <v>64</v>
      </c>
      <c r="D38" s="2" t="s">
        <v>3</v>
      </c>
      <c r="E38" s="2" t="s">
        <v>34</v>
      </c>
      <c r="F38" s="2" t="s">
        <v>35</v>
      </c>
      <c r="G38" s="2" t="s">
        <v>6</v>
      </c>
      <c r="H38" s="2" t="s">
        <v>46</v>
      </c>
      <c r="I38" s="2" t="s">
        <v>20</v>
      </c>
      <c r="J38" s="2" t="s">
        <v>39</v>
      </c>
      <c r="K38" s="2" t="s">
        <v>10</v>
      </c>
      <c r="L38" s="2" t="s">
        <v>22</v>
      </c>
      <c r="M38" s="2" t="s">
        <v>23</v>
      </c>
      <c r="N38" s="2" t="s">
        <v>45</v>
      </c>
      <c r="O38" s="2" t="s">
        <v>25</v>
      </c>
      <c r="P38" s="2" t="s">
        <v>15</v>
      </c>
      <c r="Q38" s="2"/>
    </row>
    <row r="39" spans="1:17" ht="50" x14ac:dyDescent="0.25">
      <c r="A39" s="2" t="s">
        <v>63</v>
      </c>
      <c r="B39" s="2" t="s">
        <v>2</v>
      </c>
      <c r="C39" s="2" t="s">
        <v>64</v>
      </c>
      <c r="D39" s="2" t="s">
        <v>3</v>
      </c>
      <c r="E39" s="2" t="s">
        <v>38</v>
      </c>
      <c r="F39" s="2" t="s">
        <v>5</v>
      </c>
      <c r="G39" s="2" t="s">
        <v>6</v>
      </c>
      <c r="H39" s="2" t="s">
        <v>7</v>
      </c>
      <c r="I39" s="2" t="s">
        <v>36</v>
      </c>
      <c r="J39" s="2" t="s">
        <v>39</v>
      </c>
      <c r="K39" s="2" t="s">
        <v>21</v>
      </c>
      <c r="L39" s="2" t="s">
        <v>11</v>
      </c>
      <c r="M39" s="2" t="s">
        <v>23</v>
      </c>
      <c r="N39" s="2" t="s">
        <v>13</v>
      </c>
      <c r="O39" s="2" t="s">
        <v>25</v>
      </c>
      <c r="P39" s="2" t="s">
        <v>15</v>
      </c>
      <c r="Q39" s="2"/>
    </row>
    <row r="40" spans="1:17" ht="62.5" x14ac:dyDescent="0.25">
      <c r="A40" s="2" t="s">
        <v>81</v>
      </c>
      <c r="B40" s="2" t="s">
        <v>26</v>
      </c>
      <c r="C40" s="2" t="s">
        <v>78</v>
      </c>
      <c r="D40" s="2" t="s">
        <v>16</v>
      </c>
      <c r="E40" s="2" t="s">
        <v>38</v>
      </c>
      <c r="F40" s="2" t="s">
        <v>35</v>
      </c>
      <c r="G40" s="2" t="s">
        <v>19</v>
      </c>
      <c r="H40" s="2" t="s">
        <v>46</v>
      </c>
      <c r="I40" s="2" t="s">
        <v>36</v>
      </c>
      <c r="J40" s="2" t="s">
        <v>9</v>
      </c>
      <c r="K40" s="2" t="s">
        <v>44</v>
      </c>
      <c r="L40" s="2" t="s">
        <v>11</v>
      </c>
      <c r="M40" s="2" t="s">
        <v>12</v>
      </c>
      <c r="N40" s="2" t="s">
        <v>24</v>
      </c>
      <c r="O40" s="2" t="s">
        <v>47</v>
      </c>
      <c r="P40" s="2" t="s">
        <v>40</v>
      </c>
      <c r="Q40" s="2"/>
    </row>
    <row r="41" spans="1:17" ht="62.5" x14ac:dyDescent="0.25">
      <c r="A41" s="2" t="s">
        <v>80</v>
      </c>
      <c r="B41" s="2" t="s">
        <v>26</v>
      </c>
      <c r="C41" s="2" t="s">
        <v>82</v>
      </c>
      <c r="D41" s="2" t="s">
        <v>3</v>
      </c>
      <c r="E41" s="2" t="s">
        <v>38</v>
      </c>
      <c r="F41" s="2" t="s">
        <v>35</v>
      </c>
      <c r="G41" s="2" t="s">
        <v>19</v>
      </c>
      <c r="H41" s="2" t="s">
        <v>7</v>
      </c>
      <c r="I41" s="2" t="s">
        <v>8</v>
      </c>
      <c r="J41" s="2" t="s">
        <v>39</v>
      </c>
      <c r="K41" s="2" t="s">
        <v>44</v>
      </c>
      <c r="L41" s="2" t="s">
        <v>11</v>
      </c>
      <c r="M41" s="2" t="s">
        <v>12</v>
      </c>
      <c r="N41" s="2" t="s">
        <v>45</v>
      </c>
      <c r="O41" s="2" t="s">
        <v>47</v>
      </c>
      <c r="P41" s="2" t="s">
        <v>40</v>
      </c>
      <c r="Q41" s="2"/>
    </row>
    <row r="42" spans="1:17" ht="62.5" x14ac:dyDescent="0.25">
      <c r="A42" s="2" t="s">
        <v>71</v>
      </c>
      <c r="B42" s="2" t="s">
        <v>26</v>
      </c>
      <c r="C42" s="2" t="s">
        <v>79</v>
      </c>
      <c r="D42" s="2" t="s">
        <v>3</v>
      </c>
      <c r="E42" s="2" t="s">
        <v>34</v>
      </c>
      <c r="F42" s="2" t="s">
        <v>35</v>
      </c>
      <c r="G42" s="2" t="s">
        <v>28</v>
      </c>
      <c r="H42" s="2" t="s">
        <v>7</v>
      </c>
      <c r="I42" s="2" t="s">
        <v>8</v>
      </c>
      <c r="J42" s="2" t="s">
        <v>39</v>
      </c>
      <c r="K42" s="2" t="s">
        <v>44</v>
      </c>
      <c r="L42" s="2" t="s">
        <v>11</v>
      </c>
      <c r="M42" s="2" t="s">
        <v>23</v>
      </c>
      <c r="N42" s="2" t="s">
        <v>24</v>
      </c>
      <c r="O42" s="2" t="s">
        <v>25</v>
      </c>
      <c r="P42" s="2" t="s">
        <v>40</v>
      </c>
      <c r="Q42" s="2"/>
    </row>
    <row r="43" spans="1:17" ht="50" x14ac:dyDescent="0.25">
      <c r="A43" s="2" t="s">
        <v>81</v>
      </c>
      <c r="B43" s="2" t="s">
        <v>26</v>
      </c>
      <c r="C43" s="2" t="s">
        <v>79</v>
      </c>
      <c r="D43" s="2" t="s">
        <v>41</v>
      </c>
      <c r="E43" s="2" t="s">
        <v>4</v>
      </c>
      <c r="F43" s="2" t="s">
        <v>5</v>
      </c>
      <c r="G43" s="2" t="s">
        <v>6</v>
      </c>
      <c r="H43" s="2" t="s">
        <v>33</v>
      </c>
      <c r="I43" s="2" t="s">
        <v>29</v>
      </c>
      <c r="J43" s="2" t="s">
        <v>39</v>
      </c>
      <c r="K43" s="2" t="s">
        <v>21</v>
      </c>
      <c r="L43" s="2" t="s">
        <v>22</v>
      </c>
      <c r="M43" s="2" t="s">
        <v>12</v>
      </c>
      <c r="N43" s="2" t="s">
        <v>45</v>
      </c>
      <c r="O43" s="2" t="s">
        <v>14</v>
      </c>
      <c r="P43" s="2" t="s">
        <v>32</v>
      </c>
      <c r="Q43" s="2"/>
    </row>
    <row r="44" spans="1:17" ht="50" x14ac:dyDescent="0.25">
      <c r="A44" s="2" t="s">
        <v>71</v>
      </c>
      <c r="B44" s="2" t="s">
        <v>26</v>
      </c>
      <c r="C44" s="2" t="s">
        <v>79</v>
      </c>
      <c r="D44" s="2" t="s">
        <v>3</v>
      </c>
      <c r="E44" s="2" t="s">
        <v>38</v>
      </c>
      <c r="F44" s="2" t="s">
        <v>5</v>
      </c>
      <c r="G44" s="2" t="s">
        <v>6</v>
      </c>
      <c r="H44" s="2" t="s">
        <v>7</v>
      </c>
      <c r="I44" s="2" t="s">
        <v>20</v>
      </c>
      <c r="J44" s="2" t="s">
        <v>42</v>
      </c>
      <c r="K44" s="2" t="s">
        <v>10</v>
      </c>
      <c r="L44" s="2" t="s">
        <v>22</v>
      </c>
      <c r="M44" s="2" t="s">
        <v>12</v>
      </c>
      <c r="N44" s="2" t="s">
        <v>13</v>
      </c>
      <c r="O44" s="2" t="s">
        <v>25</v>
      </c>
      <c r="P44" s="2" t="s">
        <v>15</v>
      </c>
      <c r="Q44" s="2"/>
    </row>
    <row r="45" spans="1:17" ht="62.5" x14ac:dyDescent="0.25">
      <c r="A45" s="2" t="s">
        <v>63</v>
      </c>
      <c r="B45" s="2" t="s">
        <v>2</v>
      </c>
      <c r="C45" s="2" t="s">
        <v>64</v>
      </c>
      <c r="D45" s="2" t="s">
        <v>3</v>
      </c>
      <c r="E45" s="2" t="s">
        <v>34</v>
      </c>
      <c r="F45" s="2" t="s">
        <v>35</v>
      </c>
      <c r="G45" s="2" t="s">
        <v>19</v>
      </c>
      <c r="H45" s="2" t="s">
        <v>7</v>
      </c>
      <c r="I45" s="2" t="s">
        <v>8</v>
      </c>
      <c r="J45" s="2" t="s">
        <v>9</v>
      </c>
      <c r="K45" s="2" t="s">
        <v>10</v>
      </c>
      <c r="L45" s="2" t="s">
        <v>11</v>
      </c>
      <c r="M45" s="2" t="s">
        <v>23</v>
      </c>
      <c r="N45" s="2" t="s">
        <v>37</v>
      </c>
      <c r="O45" s="2" t="s">
        <v>14</v>
      </c>
      <c r="P45" s="2" t="s">
        <v>15</v>
      </c>
      <c r="Q45" s="2"/>
    </row>
    <row r="46" spans="1:17" ht="50" x14ac:dyDescent="0.25">
      <c r="A46" s="2" t="s">
        <v>63</v>
      </c>
      <c r="B46" s="2" t="s">
        <v>26</v>
      </c>
      <c r="C46" s="2" t="s">
        <v>64</v>
      </c>
      <c r="D46" s="2" t="s">
        <v>41</v>
      </c>
      <c r="E46" s="2" t="s">
        <v>4</v>
      </c>
      <c r="F46" s="2" t="s">
        <v>5</v>
      </c>
      <c r="G46" s="2" t="s">
        <v>6</v>
      </c>
      <c r="H46" s="2" t="s">
        <v>33</v>
      </c>
      <c r="I46" s="2" t="s">
        <v>29</v>
      </c>
      <c r="J46" s="2" t="s">
        <v>30</v>
      </c>
      <c r="K46" s="2" t="s">
        <v>21</v>
      </c>
      <c r="L46" s="2" t="s">
        <v>22</v>
      </c>
      <c r="M46" s="2" t="s">
        <v>12</v>
      </c>
      <c r="N46" s="2" t="s">
        <v>24</v>
      </c>
      <c r="O46" s="2" t="s">
        <v>14</v>
      </c>
      <c r="P46" s="2" t="s">
        <v>32</v>
      </c>
      <c r="Q46" s="2"/>
    </row>
    <row r="47" spans="1:17" ht="62.5" x14ac:dyDescent="0.25">
      <c r="A47" s="2" t="s">
        <v>63</v>
      </c>
      <c r="B47" s="2" t="s">
        <v>26</v>
      </c>
      <c r="C47" s="2" t="s">
        <v>64</v>
      </c>
      <c r="D47" s="2"/>
      <c r="E47" s="2" t="s">
        <v>17</v>
      </c>
      <c r="F47" s="2" t="s">
        <v>43</v>
      </c>
      <c r="G47" s="2" t="s">
        <v>19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22</v>
      </c>
      <c r="M47" s="2" t="s">
        <v>23</v>
      </c>
      <c r="N47" s="2" t="s">
        <v>13</v>
      </c>
      <c r="O47" s="2" t="s">
        <v>25</v>
      </c>
      <c r="P47" s="2" t="s">
        <v>40</v>
      </c>
      <c r="Q47" s="2"/>
    </row>
    <row r="48" spans="1:17" ht="62.5" x14ac:dyDescent="0.25">
      <c r="A48" s="2" t="s">
        <v>63</v>
      </c>
      <c r="B48" s="2" t="s">
        <v>2</v>
      </c>
      <c r="C48" s="2" t="s">
        <v>64</v>
      </c>
      <c r="D48" s="2" t="s">
        <v>27</v>
      </c>
      <c r="E48" s="2" t="s">
        <v>17</v>
      </c>
      <c r="F48" s="2" t="s">
        <v>18</v>
      </c>
      <c r="G48" s="2" t="s">
        <v>19</v>
      </c>
      <c r="H48" s="2" t="s">
        <v>7</v>
      </c>
      <c r="I48" s="2" t="s">
        <v>36</v>
      </c>
      <c r="J48" s="2" t="s">
        <v>9</v>
      </c>
      <c r="K48" s="2" t="s">
        <v>10</v>
      </c>
      <c r="L48" s="2" t="s">
        <v>22</v>
      </c>
      <c r="M48" s="2" t="s">
        <v>23</v>
      </c>
      <c r="N48" s="2" t="s">
        <v>24</v>
      </c>
      <c r="O48" s="2" t="s">
        <v>25</v>
      </c>
      <c r="P48" s="2" t="s">
        <v>15</v>
      </c>
      <c r="Q48" s="2"/>
    </row>
    <row r="49" spans="1:17" ht="50" x14ac:dyDescent="0.25">
      <c r="A49" s="2" t="s">
        <v>63</v>
      </c>
      <c r="B49" s="2" t="s">
        <v>26</v>
      </c>
      <c r="C49" s="2" t="s">
        <v>79</v>
      </c>
      <c r="D49" s="2" t="s">
        <v>16</v>
      </c>
      <c r="E49" s="2" t="s">
        <v>17</v>
      </c>
      <c r="F49" s="2" t="s">
        <v>18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21</v>
      </c>
      <c r="L49" s="2" t="s">
        <v>22</v>
      </c>
      <c r="M49" s="2" t="s">
        <v>12</v>
      </c>
      <c r="N49" s="2" t="s">
        <v>13</v>
      </c>
      <c r="O49" s="2" t="s">
        <v>25</v>
      </c>
      <c r="P49" s="2" t="s">
        <v>15</v>
      </c>
      <c r="Q49" s="2"/>
    </row>
    <row r="50" spans="1:17" ht="62.5" x14ac:dyDescent="0.25">
      <c r="A50" s="2" t="s">
        <v>81</v>
      </c>
      <c r="B50" s="2" t="s">
        <v>26</v>
      </c>
      <c r="C50" s="2" t="s">
        <v>79</v>
      </c>
      <c r="D50" s="2" t="s">
        <v>27</v>
      </c>
      <c r="E50" s="2" t="s">
        <v>17</v>
      </c>
      <c r="F50" s="2" t="s">
        <v>18</v>
      </c>
      <c r="G50" s="2" t="s">
        <v>6</v>
      </c>
      <c r="H50" s="2" t="s">
        <v>7</v>
      </c>
      <c r="I50" s="2" t="s">
        <v>8</v>
      </c>
      <c r="J50" s="2" t="s">
        <v>39</v>
      </c>
      <c r="K50" s="2" t="s">
        <v>21</v>
      </c>
      <c r="L50" s="2" t="s">
        <v>11</v>
      </c>
      <c r="M50" s="2" t="s">
        <v>23</v>
      </c>
      <c r="N50" s="2" t="s">
        <v>37</v>
      </c>
      <c r="O50" s="2" t="s">
        <v>25</v>
      </c>
      <c r="P50" s="2" t="s">
        <v>15</v>
      </c>
      <c r="Q50" s="2"/>
    </row>
    <row r="51" spans="1:17" ht="62.5" x14ac:dyDescent="0.25">
      <c r="A51" s="2" t="s">
        <v>63</v>
      </c>
      <c r="B51" s="2" t="s">
        <v>26</v>
      </c>
      <c r="C51" s="2" t="s">
        <v>64</v>
      </c>
      <c r="D51" s="2" t="s">
        <v>41</v>
      </c>
      <c r="E51" s="2" t="s">
        <v>4</v>
      </c>
      <c r="F51" s="2" t="s">
        <v>35</v>
      </c>
      <c r="G51" s="2" t="s">
        <v>6</v>
      </c>
      <c r="H51" s="2" t="s">
        <v>33</v>
      </c>
      <c r="I51" s="2" t="s">
        <v>36</v>
      </c>
      <c r="J51" s="2" t="s">
        <v>9</v>
      </c>
      <c r="K51" s="2" t="s">
        <v>31</v>
      </c>
      <c r="L51" s="2" t="s">
        <v>22</v>
      </c>
      <c r="M51" s="2" t="s">
        <v>23</v>
      </c>
      <c r="N51" s="2" t="s">
        <v>13</v>
      </c>
      <c r="O51" s="2" t="s">
        <v>14</v>
      </c>
      <c r="P51" s="2" t="s">
        <v>32</v>
      </c>
      <c r="Q51" s="2"/>
    </row>
    <row r="52" spans="1:17" ht="37.5" x14ac:dyDescent="0.25">
      <c r="A52" s="2" t="s">
        <v>63</v>
      </c>
      <c r="B52" s="2" t="s">
        <v>2</v>
      </c>
      <c r="C52" s="2" t="s">
        <v>64</v>
      </c>
      <c r="D52" s="2" t="s">
        <v>41</v>
      </c>
      <c r="E52" s="2" t="s">
        <v>4</v>
      </c>
      <c r="F52" s="2" t="s">
        <v>5</v>
      </c>
      <c r="G52" s="2" t="s">
        <v>19</v>
      </c>
      <c r="H52" s="2" t="s">
        <v>33</v>
      </c>
      <c r="I52" s="2" t="s">
        <v>36</v>
      </c>
      <c r="J52" s="2" t="s">
        <v>39</v>
      </c>
      <c r="K52" s="2" t="s">
        <v>10</v>
      </c>
      <c r="L52" s="2" t="s">
        <v>22</v>
      </c>
      <c r="M52" s="2" t="s">
        <v>23</v>
      </c>
      <c r="N52" s="2" t="s">
        <v>24</v>
      </c>
      <c r="O52" s="2" t="s">
        <v>25</v>
      </c>
      <c r="P52" s="2" t="s">
        <v>15</v>
      </c>
      <c r="Q52" s="2"/>
    </row>
    <row r="53" spans="1:17" ht="37.5" x14ac:dyDescent="0.25">
      <c r="A53" s="2" t="s">
        <v>71</v>
      </c>
      <c r="B53" s="2" t="s">
        <v>2</v>
      </c>
      <c r="C53" s="2" t="s">
        <v>79</v>
      </c>
      <c r="D53" s="2" t="s">
        <v>3</v>
      </c>
      <c r="E53" s="2" t="s">
        <v>17</v>
      </c>
      <c r="F53" s="2" t="s">
        <v>18</v>
      </c>
      <c r="G53" s="2" t="s">
        <v>19</v>
      </c>
      <c r="H53" s="2" t="s">
        <v>33</v>
      </c>
      <c r="I53" s="2" t="s">
        <v>20</v>
      </c>
      <c r="J53" s="2" t="s">
        <v>39</v>
      </c>
      <c r="K53" s="2" t="s">
        <v>10</v>
      </c>
      <c r="L53" s="2" t="s">
        <v>22</v>
      </c>
      <c r="M53" s="2" t="s">
        <v>12</v>
      </c>
      <c r="N53" s="2" t="s">
        <v>37</v>
      </c>
      <c r="O53" s="2" t="s">
        <v>25</v>
      </c>
      <c r="P53" s="2" t="s">
        <v>32</v>
      </c>
      <c r="Q53" s="2"/>
    </row>
    <row r="54" spans="1:17" ht="62.5" x14ac:dyDescent="0.25">
      <c r="A54" s="2" t="s">
        <v>81</v>
      </c>
      <c r="B54" s="2" t="s">
        <v>2</v>
      </c>
      <c r="C54" s="2" t="s">
        <v>79</v>
      </c>
      <c r="D54" s="2" t="s">
        <v>27</v>
      </c>
      <c r="E54" s="2" t="s">
        <v>38</v>
      </c>
      <c r="F54" s="2" t="s">
        <v>35</v>
      </c>
      <c r="G54" s="2" t="s">
        <v>6</v>
      </c>
      <c r="H54" s="2" t="s">
        <v>46</v>
      </c>
      <c r="I54" s="2" t="s">
        <v>29</v>
      </c>
      <c r="J54" s="2" t="s">
        <v>9</v>
      </c>
      <c r="K54" s="2" t="s">
        <v>10</v>
      </c>
      <c r="L54" s="2" t="s">
        <v>11</v>
      </c>
      <c r="M54" s="2" t="s">
        <v>12</v>
      </c>
      <c r="N54" s="2" t="s">
        <v>24</v>
      </c>
      <c r="O54" s="2" t="s">
        <v>25</v>
      </c>
      <c r="P54" s="2" t="s">
        <v>40</v>
      </c>
      <c r="Q54" s="2"/>
    </row>
    <row r="55" spans="1:17" ht="50" x14ac:dyDescent="0.25">
      <c r="A55" s="2" t="s">
        <v>63</v>
      </c>
      <c r="B55" s="2" t="s">
        <v>26</v>
      </c>
      <c r="C55" s="2" t="s">
        <v>79</v>
      </c>
      <c r="D55" s="2" t="s">
        <v>3</v>
      </c>
      <c r="E55" s="2" t="s">
        <v>38</v>
      </c>
      <c r="F55" s="2" t="s">
        <v>18</v>
      </c>
      <c r="G55" s="2" t="s">
        <v>28</v>
      </c>
      <c r="H55" s="2" t="s">
        <v>7</v>
      </c>
      <c r="I55" s="2" t="s">
        <v>20</v>
      </c>
      <c r="J55" s="2" t="s">
        <v>42</v>
      </c>
      <c r="K55" s="2" t="s">
        <v>21</v>
      </c>
      <c r="L55" s="2" t="s">
        <v>11</v>
      </c>
      <c r="M55" s="2" t="s">
        <v>12</v>
      </c>
      <c r="N55" s="2" t="s">
        <v>13</v>
      </c>
      <c r="O55" s="2" t="s">
        <v>47</v>
      </c>
      <c r="P55" s="2" t="s">
        <v>32</v>
      </c>
      <c r="Q55" s="2"/>
    </row>
    <row r="56" spans="1:17" ht="62.5" x14ac:dyDescent="0.25">
      <c r="A56" s="2" t="s">
        <v>80</v>
      </c>
      <c r="B56" s="2" t="s">
        <v>26</v>
      </c>
      <c r="C56" s="2" t="s">
        <v>78</v>
      </c>
      <c r="D56" s="2" t="s">
        <v>16</v>
      </c>
      <c r="E56" s="2" t="s">
        <v>34</v>
      </c>
      <c r="F56" s="2" t="s">
        <v>35</v>
      </c>
      <c r="G56" s="2" t="s">
        <v>19</v>
      </c>
      <c r="H56" s="2" t="s">
        <v>46</v>
      </c>
      <c r="I56" s="2" t="s">
        <v>36</v>
      </c>
      <c r="J56" s="2" t="s">
        <v>39</v>
      </c>
      <c r="K56" s="2" t="s">
        <v>44</v>
      </c>
      <c r="L56" s="2" t="s">
        <v>11</v>
      </c>
      <c r="M56" s="2" t="s">
        <v>12</v>
      </c>
      <c r="N56" s="2" t="s">
        <v>45</v>
      </c>
      <c r="O56" s="2" t="s">
        <v>47</v>
      </c>
      <c r="P56" s="2" t="s">
        <v>48</v>
      </c>
      <c r="Q56" s="2"/>
    </row>
    <row r="57" spans="1:17" ht="62.5" x14ac:dyDescent="0.25">
      <c r="A57" s="2" t="s">
        <v>80</v>
      </c>
      <c r="B57" s="2" t="s">
        <v>2</v>
      </c>
      <c r="C57" s="2" t="s">
        <v>82</v>
      </c>
      <c r="D57" s="2" t="s">
        <v>16</v>
      </c>
      <c r="E57" s="2" t="s">
        <v>34</v>
      </c>
      <c r="F57" s="2" t="s">
        <v>43</v>
      </c>
      <c r="G57" s="2" t="s">
        <v>19</v>
      </c>
      <c r="H57" s="2" t="s">
        <v>46</v>
      </c>
      <c r="I57" s="2" t="s">
        <v>20</v>
      </c>
      <c r="J57" s="2" t="s">
        <v>9</v>
      </c>
      <c r="K57" s="2" t="s">
        <v>44</v>
      </c>
      <c r="L57" s="2" t="s">
        <v>11</v>
      </c>
      <c r="M57" s="2" t="s">
        <v>23</v>
      </c>
      <c r="N57" s="2" t="s">
        <v>24</v>
      </c>
      <c r="O57" s="2" t="s">
        <v>47</v>
      </c>
      <c r="P57" s="2" t="s">
        <v>48</v>
      </c>
      <c r="Q57" s="2"/>
    </row>
    <row r="58" spans="1:17" ht="50" x14ac:dyDescent="0.25">
      <c r="A58" s="2" t="s">
        <v>71</v>
      </c>
      <c r="B58" s="2" t="s">
        <v>2</v>
      </c>
      <c r="C58" s="2" t="s">
        <v>79</v>
      </c>
      <c r="D58" s="2" t="s">
        <v>3</v>
      </c>
      <c r="E58" s="2" t="s">
        <v>38</v>
      </c>
      <c r="F58" s="2" t="s">
        <v>5</v>
      </c>
      <c r="G58" s="2" t="s">
        <v>19</v>
      </c>
      <c r="H58" s="2" t="s">
        <v>33</v>
      </c>
      <c r="I58" s="2" t="s">
        <v>36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37</v>
      </c>
      <c r="O58" s="2" t="s">
        <v>25</v>
      </c>
      <c r="P58" s="2" t="s">
        <v>15</v>
      </c>
      <c r="Q58" s="2"/>
    </row>
    <row r="59" spans="1:17" ht="62.5" x14ac:dyDescent="0.25">
      <c r="A59" s="2" t="s">
        <v>80</v>
      </c>
      <c r="B59" s="2" t="s">
        <v>26</v>
      </c>
      <c r="C59" s="2" t="s">
        <v>78</v>
      </c>
      <c r="D59" s="2" t="s">
        <v>27</v>
      </c>
      <c r="E59" s="2" t="s">
        <v>17</v>
      </c>
      <c r="F59" s="2" t="s">
        <v>35</v>
      </c>
      <c r="G59" s="2" t="s">
        <v>6</v>
      </c>
      <c r="H59" s="2" t="s">
        <v>7</v>
      </c>
      <c r="I59" s="2" t="s">
        <v>20</v>
      </c>
      <c r="J59" s="2" t="s">
        <v>39</v>
      </c>
      <c r="K59" s="2" t="s">
        <v>21</v>
      </c>
      <c r="L59" s="2" t="s">
        <v>11</v>
      </c>
      <c r="M59" s="2" t="s">
        <v>12</v>
      </c>
      <c r="N59" s="2"/>
      <c r="O59" s="2" t="s">
        <v>25</v>
      </c>
      <c r="P59" s="2" t="s">
        <v>40</v>
      </c>
      <c r="Q59" s="2"/>
    </row>
    <row r="60" spans="1:17" ht="62.5" x14ac:dyDescent="0.25">
      <c r="A60" s="2" t="s">
        <v>63</v>
      </c>
      <c r="B60" s="2" t="s">
        <v>2</v>
      </c>
      <c r="C60" s="2" t="s">
        <v>64</v>
      </c>
      <c r="D60" s="2" t="s">
        <v>16</v>
      </c>
      <c r="E60" s="2" t="s">
        <v>38</v>
      </c>
      <c r="F60" s="2" t="s">
        <v>35</v>
      </c>
      <c r="G60" s="2" t="s">
        <v>19</v>
      </c>
      <c r="H60" s="2" t="s">
        <v>33</v>
      </c>
      <c r="I60" s="2" t="s">
        <v>29</v>
      </c>
      <c r="J60" s="2" t="s">
        <v>39</v>
      </c>
      <c r="K60" s="2" t="s">
        <v>10</v>
      </c>
      <c r="L60" s="2" t="s">
        <v>22</v>
      </c>
      <c r="M60" s="2" t="s">
        <v>23</v>
      </c>
      <c r="N60" s="2" t="s">
        <v>37</v>
      </c>
      <c r="O60" s="2" t="s">
        <v>25</v>
      </c>
      <c r="P60" s="2" t="s">
        <v>40</v>
      </c>
      <c r="Q60" s="2"/>
    </row>
    <row r="61" spans="1:17" ht="62.5" x14ac:dyDescent="0.25">
      <c r="A61" s="2" t="s">
        <v>81</v>
      </c>
      <c r="B61" s="2" t="s">
        <v>26</v>
      </c>
      <c r="C61" s="2" t="s">
        <v>78</v>
      </c>
      <c r="D61" s="2" t="s">
        <v>41</v>
      </c>
      <c r="E61" s="2" t="s">
        <v>38</v>
      </c>
      <c r="F61" s="2" t="s">
        <v>35</v>
      </c>
      <c r="G61" s="2" t="s">
        <v>6</v>
      </c>
      <c r="H61" s="2" t="s">
        <v>7</v>
      </c>
      <c r="I61" s="2" t="s">
        <v>36</v>
      </c>
      <c r="J61" s="2" t="s">
        <v>39</v>
      </c>
      <c r="K61" s="2" t="s">
        <v>21</v>
      </c>
      <c r="L61" s="2" t="s">
        <v>11</v>
      </c>
      <c r="M61" s="2" t="s">
        <v>23</v>
      </c>
      <c r="N61" s="2" t="s">
        <v>37</v>
      </c>
      <c r="O61" s="2" t="s">
        <v>25</v>
      </c>
      <c r="P61" s="2" t="s">
        <v>48</v>
      </c>
      <c r="Q61" s="2"/>
    </row>
    <row r="62" spans="1:17" ht="62.5" x14ac:dyDescent="0.25">
      <c r="A62" s="2" t="s">
        <v>81</v>
      </c>
      <c r="B62" s="2" t="s">
        <v>26</v>
      </c>
      <c r="C62" s="2" t="s">
        <v>79</v>
      </c>
      <c r="D62" s="2" t="s">
        <v>27</v>
      </c>
      <c r="E62" s="2" t="s">
        <v>17</v>
      </c>
      <c r="F62" s="2"/>
      <c r="G62" s="2" t="s">
        <v>6</v>
      </c>
      <c r="H62" s="2" t="s">
        <v>33</v>
      </c>
      <c r="I62" s="2" t="s">
        <v>8</v>
      </c>
      <c r="J62" s="2" t="s">
        <v>39</v>
      </c>
      <c r="K62" s="2" t="s">
        <v>21</v>
      </c>
      <c r="L62" s="2" t="s">
        <v>11</v>
      </c>
      <c r="M62" s="2" t="s">
        <v>12</v>
      </c>
      <c r="N62" s="2" t="s">
        <v>37</v>
      </c>
      <c r="O62" s="2" t="s">
        <v>25</v>
      </c>
      <c r="P62" s="2" t="s">
        <v>32</v>
      </c>
      <c r="Q62" s="2"/>
    </row>
    <row r="63" spans="1:17" ht="62.5" x14ac:dyDescent="0.25">
      <c r="A63" s="2" t="s">
        <v>63</v>
      </c>
      <c r="B63" s="2" t="s">
        <v>2</v>
      </c>
      <c r="C63" s="2" t="s">
        <v>64</v>
      </c>
      <c r="D63" s="2" t="s">
        <v>16</v>
      </c>
      <c r="E63" s="2" t="s">
        <v>4</v>
      </c>
      <c r="F63" s="2" t="s">
        <v>35</v>
      </c>
      <c r="G63" s="2" t="s">
        <v>6</v>
      </c>
      <c r="H63" s="2" t="s">
        <v>33</v>
      </c>
      <c r="I63" s="2" t="s">
        <v>20</v>
      </c>
      <c r="J63" s="2" t="s">
        <v>9</v>
      </c>
      <c r="K63" s="2" t="s">
        <v>21</v>
      </c>
      <c r="L63" s="2" t="s">
        <v>11</v>
      </c>
      <c r="M63" s="2" t="s">
        <v>12</v>
      </c>
      <c r="N63" s="2" t="s">
        <v>13</v>
      </c>
      <c r="O63" s="2" t="s">
        <v>14</v>
      </c>
      <c r="P63" s="2" t="s">
        <v>15</v>
      </c>
      <c r="Q63" s="2"/>
    </row>
    <row r="64" spans="1:17" ht="50" x14ac:dyDescent="0.25">
      <c r="A64" s="2" t="s">
        <v>63</v>
      </c>
      <c r="B64" s="2" t="s">
        <v>26</v>
      </c>
      <c r="C64" s="2" t="s">
        <v>79</v>
      </c>
      <c r="D64" s="2"/>
      <c r="E64" s="2"/>
      <c r="F64" s="2" t="s">
        <v>5</v>
      </c>
      <c r="G64" s="2" t="s">
        <v>6</v>
      </c>
      <c r="H64" s="2" t="s">
        <v>33</v>
      </c>
      <c r="I64" s="2" t="s">
        <v>29</v>
      </c>
      <c r="J64" s="2" t="s">
        <v>30</v>
      </c>
      <c r="K64" s="2"/>
      <c r="L64" s="2"/>
      <c r="M64" s="2"/>
      <c r="N64" s="2"/>
      <c r="O64" s="2"/>
      <c r="P64" s="2"/>
      <c r="Q64" s="2"/>
    </row>
    <row r="65" spans="1:17" ht="37.5" x14ac:dyDescent="0.25">
      <c r="A65" s="2" t="s">
        <v>63</v>
      </c>
      <c r="B65" s="2" t="s">
        <v>26</v>
      </c>
      <c r="C65" s="2" t="s">
        <v>64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33</v>
      </c>
      <c r="I65" s="2" t="s">
        <v>8</v>
      </c>
      <c r="J65" s="2" t="s">
        <v>30</v>
      </c>
      <c r="K65" s="2" t="s">
        <v>21</v>
      </c>
      <c r="L65" s="2" t="s">
        <v>11</v>
      </c>
      <c r="M65" s="2" t="s">
        <v>23</v>
      </c>
      <c r="N65" s="2" t="s">
        <v>37</v>
      </c>
      <c r="O65" s="2" t="s">
        <v>25</v>
      </c>
      <c r="P65" s="2" t="s">
        <v>32</v>
      </c>
      <c r="Q65" s="2"/>
    </row>
    <row r="66" spans="1:17" x14ac:dyDescent="0.25">
      <c r="A66" s="2" t="s">
        <v>63</v>
      </c>
      <c r="B66" s="2" t="s">
        <v>2</v>
      </c>
      <c r="C66" s="2" t="s">
        <v>64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37.5" x14ac:dyDescent="0.25">
      <c r="A67" s="2" t="s">
        <v>63</v>
      </c>
      <c r="B67" s="2" t="s">
        <v>26</v>
      </c>
      <c r="C67" s="2" t="s">
        <v>82</v>
      </c>
      <c r="D67" s="2" t="s">
        <v>16</v>
      </c>
      <c r="E67" s="2" t="s">
        <v>34</v>
      </c>
      <c r="F67" s="2" t="s">
        <v>5</v>
      </c>
      <c r="G67" s="2" t="s">
        <v>19</v>
      </c>
      <c r="H67" s="2" t="s">
        <v>46</v>
      </c>
      <c r="I67" s="2" t="s">
        <v>20</v>
      </c>
      <c r="J67" s="2" t="s">
        <v>39</v>
      </c>
      <c r="K67" s="2" t="s">
        <v>44</v>
      </c>
      <c r="L67" s="2" t="s">
        <v>11</v>
      </c>
      <c r="M67" s="2" t="s">
        <v>23</v>
      </c>
      <c r="N67" s="2" t="s">
        <v>37</v>
      </c>
      <c r="O67" s="2" t="s">
        <v>25</v>
      </c>
      <c r="P67" s="2" t="s">
        <v>15</v>
      </c>
      <c r="Q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37DD-9C94-4277-B241-D4D9240BB4F1}">
  <dimension ref="A1:F29"/>
  <sheetViews>
    <sheetView tabSelected="1" topLeftCell="A17" workbookViewId="0">
      <selection activeCell="A24" sqref="A24:F29"/>
    </sheetView>
  </sheetViews>
  <sheetFormatPr defaultRowHeight="12.5" x14ac:dyDescent="0.25"/>
  <cols>
    <col min="1" max="1" width="10.81640625" customWidth="1"/>
    <col min="2" max="2" width="12.453125" bestFit="1" customWidth="1"/>
    <col min="3" max="3" width="17.26953125" customWidth="1"/>
    <col min="4" max="4" width="19.1796875" customWidth="1"/>
    <col min="5" max="5" width="11.36328125" customWidth="1"/>
    <col min="6" max="6" width="9.1796875" customWidth="1"/>
  </cols>
  <sheetData>
    <row r="1" spans="1:3" x14ac:dyDescent="0.25">
      <c r="A1" t="s">
        <v>86</v>
      </c>
    </row>
    <row r="2" spans="1:3" ht="13" thickBot="1" x14ac:dyDescent="0.3"/>
    <row r="3" spans="1:3" ht="13" x14ac:dyDescent="0.3">
      <c r="A3" s="10"/>
      <c r="B3" s="10" t="s">
        <v>98</v>
      </c>
      <c r="C3" s="10" t="s">
        <v>97</v>
      </c>
    </row>
    <row r="4" spans="1:3" x14ac:dyDescent="0.25">
      <c r="A4" t="s">
        <v>87</v>
      </c>
      <c r="B4">
        <v>27.2</v>
      </c>
      <c r="C4">
        <v>28.176470588235293</v>
      </c>
    </row>
    <row r="5" spans="1:3" x14ac:dyDescent="0.25">
      <c r="A5" t="s">
        <v>88</v>
      </c>
      <c r="B5">
        <v>52.924137931034458</v>
      </c>
      <c r="C5">
        <v>50.937611408199615</v>
      </c>
    </row>
    <row r="6" spans="1:3" x14ac:dyDescent="0.25">
      <c r="A6" t="s">
        <v>89</v>
      </c>
      <c r="B6">
        <v>30</v>
      </c>
      <c r="C6">
        <v>34</v>
      </c>
    </row>
    <row r="7" spans="1:3" x14ac:dyDescent="0.25">
      <c r="A7" t="s">
        <v>90</v>
      </c>
      <c r="B7">
        <v>0</v>
      </c>
    </row>
    <row r="8" spans="1:3" x14ac:dyDescent="0.25">
      <c r="A8" t="s">
        <v>91</v>
      </c>
      <c r="B8">
        <v>61</v>
      </c>
    </row>
    <row r="9" spans="1:3" x14ac:dyDescent="0.25">
      <c r="A9" t="s">
        <v>92</v>
      </c>
      <c r="B9">
        <v>-0.54062611530104843</v>
      </c>
    </row>
    <row r="10" spans="1:3" x14ac:dyDescent="0.25">
      <c r="A10" t="s">
        <v>93</v>
      </c>
      <c r="B10">
        <v>0.29536699841963521</v>
      </c>
    </row>
    <row r="11" spans="1:3" x14ac:dyDescent="0.25">
      <c r="A11" t="s">
        <v>94</v>
      </c>
      <c r="B11">
        <v>1.6702194837737363</v>
      </c>
    </row>
    <row r="12" spans="1:3" x14ac:dyDescent="0.25">
      <c r="A12" t="s">
        <v>95</v>
      </c>
      <c r="B12">
        <v>0.59073399683927041</v>
      </c>
    </row>
    <row r="13" spans="1:3" ht="13" thickBot="1" x14ac:dyDescent="0.3">
      <c r="A13" s="9" t="s">
        <v>96</v>
      </c>
      <c r="B13" s="9">
        <v>1.9996235849949404</v>
      </c>
      <c r="C13" s="9"/>
    </row>
    <row r="17" spans="1:6" ht="39" x14ac:dyDescent="0.25">
      <c r="A17" s="26" t="s">
        <v>123</v>
      </c>
      <c r="B17" s="27" t="s">
        <v>102</v>
      </c>
      <c r="C17" s="27" t="s">
        <v>120</v>
      </c>
      <c r="D17" s="27" t="s">
        <v>121</v>
      </c>
      <c r="E17" s="27" t="s">
        <v>122</v>
      </c>
      <c r="F17" s="28" t="s">
        <v>110</v>
      </c>
    </row>
    <row r="18" spans="1:6" ht="13" x14ac:dyDescent="0.25">
      <c r="A18" s="24" t="s">
        <v>80</v>
      </c>
      <c r="B18" s="22">
        <v>5</v>
      </c>
      <c r="C18" s="21">
        <v>35.4</v>
      </c>
      <c r="D18" s="22">
        <v>6.11</v>
      </c>
      <c r="E18" s="21">
        <v>2.5278</v>
      </c>
      <c r="F18" s="25">
        <v>6.5500000000000003E-2</v>
      </c>
    </row>
    <row r="19" spans="1:6" ht="13" x14ac:dyDescent="0.25">
      <c r="A19" s="24" t="s">
        <v>81</v>
      </c>
      <c r="B19" s="22">
        <v>6</v>
      </c>
      <c r="C19" s="22">
        <v>29</v>
      </c>
      <c r="D19" s="22">
        <v>6.57</v>
      </c>
      <c r="E19" s="21"/>
      <c r="F19" s="25"/>
    </row>
    <row r="20" spans="1:6" ht="13" x14ac:dyDescent="0.25">
      <c r="A20" s="24" t="s">
        <v>71</v>
      </c>
      <c r="B20" s="22">
        <v>11</v>
      </c>
      <c r="C20" s="22">
        <v>28</v>
      </c>
      <c r="D20" s="22">
        <v>5.8</v>
      </c>
      <c r="E20" s="21"/>
      <c r="F20" s="25"/>
    </row>
    <row r="21" spans="1:6" ht="13" x14ac:dyDescent="0.25">
      <c r="A21" s="29" t="s">
        <v>63</v>
      </c>
      <c r="B21" s="30">
        <v>44</v>
      </c>
      <c r="C21" s="30">
        <v>26.68</v>
      </c>
      <c r="D21" s="30">
        <v>7.13</v>
      </c>
      <c r="E21" s="31"/>
      <c r="F21" s="32"/>
    </row>
    <row r="24" spans="1:6" ht="26" x14ac:dyDescent="0.25">
      <c r="A24" s="21" t="s">
        <v>124</v>
      </c>
      <c r="B24" s="21" t="s">
        <v>102</v>
      </c>
      <c r="C24" s="21" t="s">
        <v>120</v>
      </c>
      <c r="D24" s="21" t="s">
        <v>121</v>
      </c>
      <c r="E24" s="21" t="s">
        <v>122</v>
      </c>
      <c r="F24" s="21" t="s">
        <v>110</v>
      </c>
    </row>
    <row r="25" spans="1:6" ht="13" x14ac:dyDescent="0.25">
      <c r="A25" s="21" t="s">
        <v>82</v>
      </c>
      <c r="B25" s="22">
        <v>3</v>
      </c>
      <c r="C25" s="21">
        <v>37.67</v>
      </c>
      <c r="D25" s="22">
        <v>3.06</v>
      </c>
      <c r="E25" s="33">
        <v>2.4561999999999999</v>
      </c>
      <c r="F25" s="23">
        <v>5.5E-2</v>
      </c>
    </row>
    <row r="26" spans="1:6" ht="13" x14ac:dyDescent="0.25">
      <c r="A26" s="21" t="s">
        <v>78</v>
      </c>
      <c r="B26" s="22">
        <v>5</v>
      </c>
      <c r="C26" s="22">
        <v>32.200000000000003</v>
      </c>
      <c r="D26" s="22">
        <v>8.5</v>
      </c>
      <c r="E26" s="33"/>
      <c r="F26" s="23"/>
    </row>
    <row r="27" spans="1:6" ht="13" x14ac:dyDescent="0.25">
      <c r="A27" s="21" t="s">
        <v>74</v>
      </c>
      <c r="B27" s="22">
        <v>2</v>
      </c>
      <c r="C27" s="22">
        <v>29</v>
      </c>
      <c r="D27" s="22">
        <v>1.41</v>
      </c>
      <c r="E27" s="33"/>
      <c r="F27" s="23"/>
    </row>
    <row r="28" spans="1:6" ht="13" x14ac:dyDescent="0.25">
      <c r="A28" s="21" t="s">
        <v>64</v>
      </c>
      <c r="B28" s="22">
        <v>39</v>
      </c>
      <c r="C28" s="22">
        <v>26.92</v>
      </c>
      <c r="D28" s="22">
        <v>6.46</v>
      </c>
      <c r="E28" s="33"/>
      <c r="F28" s="23"/>
    </row>
    <row r="29" spans="1:6" ht="13" x14ac:dyDescent="0.25">
      <c r="A29" s="21" t="s">
        <v>79</v>
      </c>
      <c r="B29" s="22">
        <v>17</v>
      </c>
      <c r="C29" s="22">
        <v>26.53</v>
      </c>
      <c r="D29" s="22">
        <v>7.48</v>
      </c>
      <c r="E29" s="33"/>
      <c r="F29" s="23"/>
    </row>
  </sheetData>
  <mergeCells count="2">
    <mergeCell ref="E25:E29"/>
    <mergeCell ref="F25:F2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ED06-9B62-4572-A6E4-6FF57BE6E18C}">
  <dimension ref="A1:G24"/>
  <sheetViews>
    <sheetView topLeftCell="A4" workbookViewId="0">
      <selection activeCell="D28" sqref="D28"/>
    </sheetView>
  </sheetViews>
  <sheetFormatPr defaultRowHeight="12.5" x14ac:dyDescent="0.25"/>
  <cols>
    <col min="1" max="1" width="51.08984375" customWidth="1"/>
  </cols>
  <sheetData>
    <row r="1" spans="1:5" x14ac:dyDescent="0.25">
      <c r="A1" t="s">
        <v>99</v>
      </c>
    </row>
    <row r="3" spans="1:5" ht="13" thickBot="1" x14ac:dyDescent="0.3">
      <c r="A3" s="12" t="s">
        <v>100</v>
      </c>
    </row>
    <row r="4" spans="1:5" ht="13" x14ac:dyDescent="0.3">
      <c r="A4" s="11" t="s">
        <v>101</v>
      </c>
      <c r="B4" s="11" t="s">
        <v>102</v>
      </c>
      <c r="C4" s="11" t="s">
        <v>103</v>
      </c>
      <c r="D4" s="11" t="s">
        <v>104</v>
      </c>
      <c r="E4" s="11" t="s">
        <v>88</v>
      </c>
    </row>
    <row r="5" spans="1:5" ht="35.5" customHeight="1" x14ac:dyDescent="0.25">
      <c r="A5" s="2" t="s">
        <v>52</v>
      </c>
      <c r="B5">
        <v>64</v>
      </c>
      <c r="C5">
        <v>151</v>
      </c>
      <c r="D5">
        <v>2.359375</v>
      </c>
      <c r="E5">
        <v>0.77356150793650791</v>
      </c>
    </row>
    <row r="6" spans="1:5" ht="33" customHeight="1" x14ac:dyDescent="0.25">
      <c r="A6" s="2" t="s">
        <v>53</v>
      </c>
      <c r="B6">
        <v>65</v>
      </c>
      <c r="C6">
        <v>119</v>
      </c>
      <c r="D6">
        <v>1.8307692307692307</v>
      </c>
      <c r="E6">
        <v>0.51778846153846159</v>
      </c>
    </row>
    <row r="7" spans="1:5" ht="31.5" customHeight="1" x14ac:dyDescent="0.25">
      <c r="A7" s="2" t="s">
        <v>54</v>
      </c>
      <c r="B7">
        <v>65</v>
      </c>
      <c r="C7">
        <v>122</v>
      </c>
      <c r="D7">
        <v>1.8769230769230769</v>
      </c>
      <c r="E7">
        <v>0.51586538461538467</v>
      </c>
    </row>
    <row r="8" spans="1:5" ht="36" customHeight="1" x14ac:dyDescent="0.25">
      <c r="A8" s="2" t="s">
        <v>55</v>
      </c>
      <c r="B8">
        <v>65</v>
      </c>
      <c r="C8">
        <v>162</v>
      </c>
      <c r="D8">
        <v>2.4923076923076923</v>
      </c>
      <c r="E8">
        <v>0.81634615384615383</v>
      </c>
    </row>
    <row r="9" spans="1:5" ht="72.5" customHeight="1" x14ac:dyDescent="0.25">
      <c r="A9" s="2" t="s">
        <v>56</v>
      </c>
      <c r="B9">
        <v>65</v>
      </c>
      <c r="C9">
        <v>145</v>
      </c>
      <c r="D9">
        <v>2.2307692307692308</v>
      </c>
      <c r="E9">
        <v>0.71153846153846168</v>
      </c>
    </row>
    <row r="10" spans="1:5" ht="40" customHeight="1" x14ac:dyDescent="0.25">
      <c r="A10" s="2" t="s">
        <v>57</v>
      </c>
      <c r="B10">
        <v>64</v>
      </c>
      <c r="C10">
        <v>149</v>
      </c>
      <c r="D10">
        <v>2.328125</v>
      </c>
      <c r="E10">
        <v>0.98586309523809523</v>
      </c>
    </row>
    <row r="11" spans="1:5" ht="40.5" customHeight="1" x14ac:dyDescent="0.25">
      <c r="A11" s="2" t="s">
        <v>58</v>
      </c>
      <c r="B11">
        <v>64</v>
      </c>
      <c r="C11">
        <v>132</v>
      </c>
      <c r="D11">
        <v>2.0625</v>
      </c>
      <c r="E11">
        <v>1.0119047619047619</v>
      </c>
    </row>
    <row r="12" spans="1:5" ht="53" customHeight="1" x14ac:dyDescent="0.25">
      <c r="A12" s="2" t="s">
        <v>59</v>
      </c>
      <c r="B12">
        <v>64</v>
      </c>
      <c r="C12">
        <v>144</v>
      </c>
      <c r="D12">
        <v>2.25</v>
      </c>
      <c r="E12">
        <v>0.95238095238095233</v>
      </c>
    </row>
    <row r="13" spans="1:5" ht="49.5" customHeight="1" x14ac:dyDescent="0.25">
      <c r="A13" s="2" t="s">
        <v>60</v>
      </c>
      <c r="B13">
        <v>63</v>
      </c>
      <c r="C13">
        <v>141</v>
      </c>
      <c r="D13">
        <v>2.2380952380952381</v>
      </c>
      <c r="E13">
        <v>0.99078341013824911</v>
      </c>
    </row>
    <row r="14" spans="1:5" ht="37" customHeight="1" x14ac:dyDescent="0.25">
      <c r="A14" s="2" t="s">
        <v>61</v>
      </c>
      <c r="B14">
        <v>64</v>
      </c>
      <c r="C14">
        <v>118</v>
      </c>
      <c r="D14">
        <v>1.84375</v>
      </c>
      <c r="E14">
        <v>0.32440476190476192</v>
      </c>
    </row>
    <row r="15" spans="1:5" ht="92.5" customHeight="1" x14ac:dyDescent="0.25">
      <c r="A15" s="2" t="s">
        <v>62</v>
      </c>
      <c r="B15">
        <v>64</v>
      </c>
      <c r="C15">
        <v>132</v>
      </c>
      <c r="D15">
        <v>2.0625</v>
      </c>
      <c r="E15">
        <v>0.50396825396825395</v>
      </c>
    </row>
    <row r="16" spans="1:5" ht="17" customHeight="1" thickBot="1" x14ac:dyDescent="0.3">
      <c r="A16" s="9" t="s">
        <v>83</v>
      </c>
      <c r="B16" s="9">
        <v>66</v>
      </c>
      <c r="C16" s="9">
        <v>1833</v>
      </c>
      <c r="D16" s="9">
        <v>27.772727272727273</v>
      </c>
      <c r="E16" s="9">
        <v>49.809090909090948</v>
      </c>
    </row>
    <row r="19" spans="1:7" ht="13" thickBot="1" x14ac:dyDescent="0.3">
      <c r="A19" t="s">
        <v>105</v>
      </c>
    </row>
    <row r="20" spans="1:7" ht="13" x14ac:dyDescent="0.3">
      <c r="A20" s="10" t="s">
        <v>106</v>
      </c>
      <c r="B20" s="10" t="s">
        <v>107</v>
      </c>
      <c r="C20" s="10" t="s">
        <v>91</v>
      </c>
      <c r="D20" s="10" t="s">
        <v>108</v>
      </c>
      <c r="E20" s="10" t="s">
        <v>109</v>
      </c>
      <c r="F20" s="10" t="s">
        <v>110</v>
      </c>
      <c r="G20" s="10" t="s">
        <v>111</v>
      </c>
    </row>
    <row r="21" spans="1:7" x14ac:dyDescent="0.25">
      <c r="A21" t="s">
        <v>112</v>
      </c>
      <c r="B21">
        <v>39685.479436661451</v>
      </c>
      <c r="C21">
        <v>11</v>
      </c>
      <c r="D21">
        <v>3607.7708578783136</v>
      </c>
      <c r="E21">
        <v>732.18788886983805</v>
      </c>
      <c r="F21">
        <v>0</v>
      </c>
      <c r="G21">
        <v>1.8012205706410607</v>
      </c>
    </row>
    <row r="22" spans="1:7" x14ac:dyDescent="0.25">
      <c r="A22" t="s">
        <v>113</v>
      </c>
      <c r="B22">
        <v>3749.7391920579421</v>
      </c>
      <c r="C22">
        <v>761</v>
      </c>
      <c r="D22">
        <v>4.9273839580262049</v>
      </c>
    </row>
    <row r="24" spans="1:7" ht="13" thickBot="1" x14ac:dyDescent="0.3">
      <c r="A24" s="9" t="s">
        <v>114</v>
      </c>
      <c r="B24" s="9">
        <v>43435.218628719391</v>
      </c>
      <c r="C24" s="9">
        <v>772</v>
      </c>
      <c r="D24" s="9"/>
      <c r="E24" s="9"/>
      <c r="F24" s="9"/>
      <c r="G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B999-1DF0-463F-B7B9-28A07D6D4800}">
  <dimension ref="A1:Q68"/>
  <sheetViews>
    <sheetView topLeftCell="B1" workbookViewId="0">
      <selection sqref="A1:XFD1048576"/>
    </sheetView>
  </sheetViews>
  <sheetFormatPr defaultRowHeight="12.5" x14ac:dyDescent="0.25"/>
  <cols>
    <col min="4" max="4" width="12.81640625" customWidth="1"/>
    <col min="5" max="5" width="11.26953125" customWidth="1"/>
    <col min="6" max="6" width="12.453125" style="2" customWidth="1"/>
    <col min="7" max="7" width="12.36328125" style="2" customWidth="1"/>
    <col min="8" max="8" width="11.7265625" customWidth="1"/>
    <col min="9" max="9" width="11.6328125" customWidth="1"/>
    <col min="10" max="10" width="13.453125" style="2" customWidth="1"/>
    <col min="11" max="12" width="13.36328125" style="2" customWidth="1"/>
    <col min="13" max="13" width="12.453125" style="2" customWidth="1"/>
    <col min="14" max="14" width="11.81640625" style="2" customWidth="1"/>
    <col min="15" max="15" width="14.26953125" style="2" customWidth="1"/>
    <col min="16" max="16" width="13.7265625" customWidth="1"/>
    <col min="17" max="17" width="8.7265625" style="8"/>
  </cols>
  <sheetData>
    <row r="1" spans="1:17" s="3" customFormat="1" ht="100.5" customHeight="1" x14ac:dyDescent="0.25">
      <c r="A1" s="3" t="s">
        <v>1</v>
      </c>
      <c r="B1" s="5" t="s">
        <v>85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6" t="s">
        <v>83</v>
      </c>
    </row>
    <row r="2" spans="1:17" s="3" customFormat="1" ht="28.5" customHeight="1" x14ac:dyDescent="0.25">
      <c r="B2" s="5"/>
      <c r="Q2" s="6"/>
    </row>
    <row r="3" spans="1:17" s="2" customFormat="1" ht="40.5" customHeight="1" x14ac:dyDescent="0.25">
      <c r="A3" t="s">
        <v>71</v>
      </c>
      <c r="B3" t="s">
        <v>2</v>
      </c>
      <c r="C3" t="s">
        <v>64</v>
      </c>
      <c r="D3">
        <v>3</v>
      </c>
      <c r="E3" s="1">
        <v>2</v>
      </c>
      <c r="F3" s="2">
        <v>2</v>
      </c>
      <c r="G3" s="2">
        <v>2</v>
      </c>
      <c r="H3">
        <v>2</v>
      </c>
      <c r="I3">
        <v>2</v>
      </c>
      <c r="J3" s="2">
        <v>2</v>
      </c>
      <c r="K3" s="2">
        <v>2</v>
      </c>
      <c r="L3" s="2">
        <v>3</v>
      </c>
      <c r="M3" s="2">
        <v>3</v>
      </c>
      <c r="N3" s="4">
        <v>3</v>
      </c>
      <c r="O3" s="2">
        <v>2</v>
      </c>
      <c r="P3">
        <v>2</v>
      </c>
      <c r="Q3" s="7">
        <f t="shared" ref="Q3:Q34" si="0">SUM(D3:P3)</f>
        <v>30</v>
      </c>
    </row>
    <row r="4" spans="1:17" x14ac:dyDescent="0.25">
      <c r="A4" t="s">
        <v>63</v>
      </c>
      <c r="B4" t="s">
        <v>2</v>
      </c>
      <c r="C4" t="s">
        <v>64</v>
      </c>
      <c r="D4">
        <v>4</v>
      </c>
      <c r="E4" s="1">
        <v>4</v>
      </c>
      <c r="F4" s="2">
        <v>2</v>
      </c>
      <c r="G4" s="2">
        <v>1</v>
      </c>
      <c r="H4">
        <v>1</v>
      </c>
      <c r="I4" s="1">
        <v>3</v>
      </c>
      <c r="J4" s="2">
        <v>1</v>
      </c>
      <c r="K4" s="4">
        <v>1</v>
      </c>
      <c r="L4" s="2">
        <v>3</v>
      </c>
      <c r="M4" s="2">
        <v>1</v>
      </c>
      <c r="N4" s="4">
        <v>1</v>
      </c>
      <c r="O4" s="4">
        <v>3</v>
      </c>
      <c r="P4">
        <v>2</v>
      </c>
      <c r="Q4" s="7">
        <f t="shared" si="0"/>
        <v>27</v>
      </c>
    </row>
    <row r="5" spans="1:17" x14ac:dyDescent="0.25">
      <c r="A5" t="s">
        <v>63</v>
      </c>
      <c r="B5" t="s">
        <v>2</v>
      </c>
      <c r="C5" t="s">
        <v>64</v>
      </c>
      <c r="D5">
        <v>3</v>
      </c>
      <c r="E5" s="1">
        <v>3</v>
      </c>
      <c r="F5" s="2">
        <v>2</v>
      </c>
      <c r="G5" s="4">
        <v>3</v>
      </c>
      <c r="H5">
        <v>2</v>
      </c>
      <c r="I5">
        <v>3</v>
      </c>
      <c r="J5" s="2">
        <v>2</v>
      </c>
      <c r="K5" s="2">
        <v>3</v>
      </c>
      <c r="L5" s="2">
        <v>3</v>
      </c>
      <c r="M5" s="2">
        <v>3</v>
      </c>
      <c r="N5" s="2">
        <v>4</v>
      </c>
      <c r="O5" s="2">
        <v>2</v>
      </c>
      <c r="P5">
        <v>2</v>
      </c>
      <c r="Q5" s="7">
        <f t="shared" si="0"/>
        <v>35</v>
      </c>
    </row>
    <row r="6" spans="1:17" x14ac:dyDescent="0.25">
      <c r="A6" t="s">
        <v>63</v>
      </c>
      <c r="B6" t="s">
        <v>2</v>
      </c>
      <c r="C6" t="s">
        <v>74</v>
      </c>
      <c r="D6">
        <v>3</v>
      </c>
      <c r="E6">
        <v>4</v>
      </c>
      <c r="F6" s="4">
        <v>3</v>
      </c>
      <c r="G6" s="2">
        <v>3</v>
      </c>
      <c r="H6" s="1">
        <v>3</v>
      </c>
      <c r="I6">
        <v>2</v>
      </c>
      <c r="J6" s="4">
        <v>3</v>
      </c>
      <c r="K6" s="2">
        <v>1</v>
      </c>
      <c r="L6" s="2">
        <v>1</v>
      </c>
      <c r="M6" s="2">
        <v>3</v>
      </c>
      <c r="N6" s="2">
        <v>1</v>
      </c>
      <c r="O6" s="4">
        <v>1</v>
      </c>
      <c r="P6">
        <v>2</v>
      </c>
      <c r="Q6" s="7">
        <f t="shared" si="0"/>
        <v>30</v>
      </c>
    </row>
    <row r="7" spans="1:17" x14ac:dyDescent="0.25">
      <c r="A7" t="s">
        <v>63</v>
      </c>
      <c r="B7" t="s">
        <v>2</v>
      </c>
      <c r="C7" t="s">
        <v>74</v>
      </c>
      <c r="D7">
        <v>3</v>
      </c>
      <c r="E7">
        <v>4</v>
      </c>
      <c r="F7" s="2">
        <v>3</v>
      </c>
      <c r="G7" s="2">
        <v>2</v>
      </c>
      <c r="H7">
        <v>3</v>
      </c>
      <c r="I7">
        <v>2</v>
      </c>
      <c r="J7" s="2">
        <v>2</v>
      </c>
      <c r="K7" s="2">
        <v>1</v>
      </c>
      <c r="L7" s="2">
        <v>1</v>
      </c>
      <c r="M7" s="2">
        <v>3</v>
      </c>
      <c r="N7" s="2">
        <v>1</v>
      </c>
      <c r="O7" s="2">
        <v>1</v>
      </c>
      <c r="P7">
        <v>2</v>
      </c>
      <c r="Q7" s="7">
        <f t="shared" si="0"/>
        <v>28</v>
      </c>
    </row>
    <row r="8" spans="1:17" x14ac:dyDescent="0.25">
      <c r="A8" t="s">
        <v>63</v>
      </c>
      <c r="B8" t="s">
        <v>2</v>
      </c>
      <c r="C8" t="s">
        <v>64</v>
      </c>
      <c r="D8">
        <v>4</v>
      </c>
      <c r="E8">
        <v>2</v>
      </c>
      <c r="F8" s="2">
        <v>3</v>
      </c>
      <c r="G8" s="2">
        <v>2</v>
      </c>
      <c r="H8">
        <v>3</v>
      </c>
      <c r="I8">
        <v>2</v>
      </c>
      <c r="J8" s="2">
        <v>2</v>
      </c>
      <c r="K8" s="2">
        <v>1</v>
      </c>
      <c r="L8" s="2">
        <v>1</v>
      </c>
      <c r="M8" s="2">
        <v>3</v>
      </c>
      <c r="N8" s="2">
        <v>1</v>
      </c>
      <c r="O8" s="2">
        <v>2</v>
      </c>
      <c r="P8">
        <v>2</v>
      </c>
      <c r="Q8" s="7">
        <f t="shared" si="0"/>
        <v>28</v>
      </c>
    </row>
    <row r="9" spans="1:17" x14ac:dyDescent="0.25">
      <c r="A9" t="s">
        <v>63</v>
      </c>
      <c r="B9" t="s">
        <v>2</v>
      </c>
      <c r="C9" t="s">
        <v>64</v>
      </c>
      <c r="D9">
        <v>4</v>
      </c>
      <c r="E9">
        <v>2</v>
      </c>
      <c r="F9" s="2">
        <v>3</v>
      </c>
      <c r="G9" s="2">
        <v>2</v>
      </c>
      <c r="H9">
        <v>3</v>
      </c>
      <c r="I9">
        <v>2</v>
      </c>
      <c r="J9" s="2">
        <v>2</v>
      </c>
      <c r="K9" s="2">
        <v>1</v>
      </c>
      <c r="L9" s="2">
        <v>1</v>
      </c>
      <c r="M9" s="2">
        <v>3</v>
      </c>
      <c r="N9" s="2">
        <v>1</v>
      </c>
      <c r="O9" s="2">
        <v>2</v>
      </c>
      <c r="P9">
        <v>2</v>
      </c>
      <c r="Q9" s="7">
        <f t="shared" si="0"/>
        <v>28</v>
      </c>
    </row>
    <row r="10" spans="1:17" x14ac:dyDescent="0.25">
      <c r="A10" t="s">
        <v>63</v>
      </c>
      <c r="B10" t="s">
        <v>2</v>
      </c>
      <c r="C10" t="s">
        <v>64</v>
      </c>
      <c r="D10">
        <v>4</v>
      </c>
      <c r="E10">
        <v>2</v>
      </c>
      <c r="F10" s="2">
        <v>3</v>
      </c>
      <c r="G10" s="2">
        <v>2</v>
      </c>
      <c r="H10">
        <v>3</v>
      </c>
      <c r="I10">
        <v>2</v>
      </c>
      <c r="J10" s="2">
        <v>1</v>
      </c>
      <c r="K10" s="2">
        <v>1</v>
      </c>
      <c r="L10" s="2">
        <v>3</v>
      </c>
      <c r="M10" s="2">
        <v>1</v>
      </c>
      <c r="N10" s="2">
        <v>2</v>
      </c>
      <c r="O10" s="2">
        <v>2</v>
      </c>
      <c r="P10">
        <v>2</v>
      </c>
      <c r="Q10" s="7">
        <f t="shared" si="0"/>
        <v>28</v>
      </c>
    </row>
    <row r="11" spans="1:17" x14ac:dyDescent="0.25">
      <c r="A11" t="s">
        <v>63</v>
      </c>
      <c r="B11" t="s">
        <v>2</v>
      </c>
      <c r="C11" t="s">
        <v>64</v>
      </c>
      <c r="D11">
        <v>2</v>
      </c>
      <c r="E11" s="1">
        <v>1</v>
      </c>
      <c r="F11" s="4">
        <v>1</v>
      </c>
      <c r="G11" s="2">
        <v>1</v>
      </c>
      <c r="H11">
        <v>2</v>
      </c>
      <c r="I11">
        <v>2</v>
      </c>
      <c r="J11" s="2">
        <v>2</v>
      </c>
      <c r="K11" s="2">
        <v>3</v>
      </c>
      <c r="L11" s="4">
        <v>3</v>
      </c>
      <c r="M11" s="2">
        <v>1</v>
      </c>
      <c r="N11" s="2">
        <v>1</v>
      </c>
      <c r="O11" s="2">
        <v>1</v>
      </c>
      <c r="P11">
        <v>2</v>
      </c>
      <c r="Q11" s="7">
        <f t="shared" si="0"/>
        <v>22</v>
      </c>
    </row>
    <row r="12" spans="1:17" x14ac:dyDescent="0.25">
      <c r="A12" t="s">
        <v>63</v>
      </c>
      <c r="B12" t="s">
        <v>2</v>
      </c>
      <c r="C12" t="s">
        <v>64</v>
      </c>
      <c r="D12">
        <v>4</v>
      </c>
      <c r="E12">
        <v>2</v>
      </c>
      <c r="F12" s="2">
        <v>2</v>
      </c>
      <c r="G12" s="2">
        <v>2</v>
      </c>
      <c r="H12">
        <v>2</v>
      </c>
      <c r="I12">
        <v>3</v>
      </c>
      <c r="J12" s="2">
        <v>2</v>
      </c>
      <c r="K12" s="4">
        <v>2</v>
      </c>
      <c r="L12" s="2">
        <v>1</v>
      </c>
      <c r="M12" s="2">
        <v>3</v>
      </c>
      <c r="N12" s="2">
        <v>2</v>
      </c>
      <c r="O12" s="2">
        <v>2</v>
      </c>
      <c r="P12">
        <v>2</v>
      </c>
      <c r="Q12" s="7">
        <f t="shared" si="0"/>
        <v>29</v>
      </c>
    </row>
    <row r="13" spans="1:17" x14ac:dyDescent="0.25">
      <c r="A13" t="s">
        <v>71</v>
      </c>
      <c r="B13" t="s">
        <v>2</v>
      </c>
      <c r="C13" t="s">
        <v>79</v>
      </c>
      <c r="D13">
        <v>3</v>
      </c>
      <c r="E13">
        <v>1</v>
      </c>
      <c r="F13" s="2">
        <v>2</v>
      </c>
      <c r="G13" s="2">
        <v>1</v>
      </c>
      <c r="H13">
        <v>1</v>
      </c>
      <c r="I13">
        <v>2</v>
      </c>
      <c r="J13" s="2">
        <v>1</v>
      </c>
      <c r="K13" s="2">
        <v>1</v>
      </c>
      <c r="L13" s="2">
        <v>1</v>
      </c>
      <c r="M13" s="2">
        <v>1</v>
      </c>
      <c r="N13" s="2">
        <v>2</v>
      </c>
      <c r="O13" s="4">
        <v>2</v>
      </c>
      <c r="P13">
        <v>1</v>
      </c>
      <c r="Q13" s="7">
        <f t="shared" si="0"/>
        <v>19</v>
      </c>
    </row>
    <row r="14" spans="1:17" x14ac:dyDescent="0.25">
      <c r="A14" t="s">
        <v>71</v>
      </c>
      <c r="B14" t="s">
        <v>2</v>
      </c>
      <c r="C14" t="s">
        <v>79</v>
      </c>
      <c r="D14">
        <v>3</v>
      </c>
      <c r="E14">
        <v>1</v>
      </c>
      <c r="F14" s="2">
        <v>2</v>
      </c>
      <c r="G14" s="2">
        <v>1</v>
      </c>
      <c r="H14">
        <v>1</v>
      </c>
      <c r="I14">
        <v>2</v>
      </c>
      <c r="J14" s="2">
        <v>2</v>
      </c>
      <c r="K14" s="2">
        <v>1</v>
      </c>
      <c r="L14" s="2">
        <v>3</v>
      </c>
      <c r="M14" s="2">
        <v>1</v>
      </c>
      <c r="N14" s="2">
        <v>2</v>
      </c>
      <c r="O14" s="2">
        <v>2</v>
      </c>
      <c r="P14">
        <v>2</v>
      </c>
      <c r="Q14" s="7">
        <f t="shared" si="0"/>
        <v>23</v>
      </c>
    </row>
    <row r="15" spans="1:17" x14ac:dyDescent="0.25">
      <c r="A15" t="s">
        <v>80</v>
      </c>
      <c r="B15" t="s">
        <v>2</v>
      </c>
      <c r="C15" t="s">
        <v>79</v>
      </c>
      <c r="D15">
        <v>2</v>
      </c>
      <c r="E15">
        <v>3</v>
      </c>
      <c r="F15" s="2">
        <v>3</v>
      </c>
      <c r="G15" s="2">
        <v>2</v>
      </c>
      <c r="H15">
        <v>2</v>
      </c>
      <c r="I15">
        <v>3</v>
      </c>
      <c r="J15" s="2">
        <v>3</v>
      </c>
      <c r="K15" s="2">
        <v>2</v>
      </c>
      <c r="L15" s="2">
        <v>1</v>
      </c>
      <c r="M15" s="2">
        <v>3</v>
      </c>
      <c r="N15" s="2">
        <v>3</v>
      </c>
      <c r="O15" s="2">
        <v>1</v>
      </c>
      <c r="P15" s="1">
        <v>3</v>
      </c>
      <c r="Q15" s="7">
        <f t="shared" si="0"/>
        <v>31</v>
      </c>
    </row>
    <row r="16" spans="1:17" x14ac:dyDescent="0.25">
      <c r="A16" t="s">
        <v>63</v>
      </c>
      <c r="B16" t="s">
        <v>2</v>
      </c>
      <c r="C16" t="s">
        <v>64</v>
      </c>
      <c r="D16">
        <v>1</v>
      </c>
      <c r="E16">
        <v>1</v>
      </c>
      <c r="F16" s="2">
        <v>1</v>
      </c>
      <c r="G16" s="2">
        <v>1</v>
      </c>
      <c r="H16">
        <v>1</v>
      </c>
      <c r="I16">
        <v>2</v>
      </c>
      <c r="J16" s="2">
        <v>4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>
        <v>2</v>
      </c>
      <c r="Q16" s="7">
        <f t="shared" si="0"/>
        <v>18</v>
      </c>
    </row>
    <row r="17" spans="1:17" x14ac:dyDescent="0.25">
      <c r="A17" t="s">
        <v>63</v>
      </c>
      <c r="B17" t="s">
        <v>2</v>
      </c>
      <c r="C17" t="s">
        <v>64</v>
      </c>
      <c r="D17">
        <v>1</v>
      </c>
      <c r="E17">
        <v>1</v>
      </c>
      <c r="F17" s="4">
        <v>4</v>
      </c>
      <c r="G17" s="2">
        <v>1</v>
      </c>
      <c r="H17">
        <v>1</v>
      </c>
      <c r="I17">
        <v>2</v>
      </c>
      <c r="J17" s="2">
        <v>1</v>
      </c>
      <c r="K17" s="4">
        <v>4</v>
      </c>
      <c r="L17" s="2">
        <v>3</v>
      </c>
      <c r="M17" s="2">
        <v>3</v>
      </c>
      <c r="N17" s="2">
        <v>1</v>
      </c>
      <c r="O17" s="2">
        <v>1</v>
      </c>
      <c r="P17">
        <v>2</v>
      </c>
      <c r="Q17" s="7">
        <f t="shared" si="0"/>
        <v>25</v>
      </c>
    </row>
    <row r="18" spans="1:17" x14ac:dyDescent="0.25">
      <c r="A18" t="s">
        <v>63</v>
      </c>
      <c r="B18" t="s">
        <v>2</v>
      </c>
      <c r="C18" t="s">
        <v>64</v>
      </c>
      <c r="D18">
        <v>1</v>
      </c>
      <c r="E18">
        <v>1</v>
      </c>
      <c r="F18" s="2">
        <v>4</v>
      </c>
      <c r="G18" s="2">
        <v>1</v>
      </c>
      <c r="H18">
        <v>1</v>
      </c>
      <c r="I18">
        <v>1</v>
      </c>
      <c r="J18" s="2">
        <v>1</v>
      </c>
      <c r="K18" s="2">
        <v>1</v>
      </c>
      <c r="L18" s="2">
        <v>1</v>
      </c>
      <c r="M18" s="2">
        <v>3</v>
      </c>
      <c r="N18" s="2">
        <v>1</v>
      </c>
      <c r="O18" s="2">
        <v>1</v>
      </c>
      <c r="P18">
        <v>2</v>
      </c>
      <c r="Q18" s="7">
        <f t="shared" si="0"/>
        <v>19</v>
      </c>
    </row>
    <row r="19" spans="1:17" x14ac:dyDescent="0.25">
      <c r="A19" t="s">
        <v>71</v>
      </c>
      <c r="B19" t="s">
        <v>2</v>
      </c>
      <c r="C19" t="s">
        <v>79</v>
      </c>
      <c r="D19" s="1">
        <v>2</v>
      </c>
      <c r="E19">
        <v>4</v>
      </c>
      <c r="F19" s="2">
        <v>2</v>
      </c>
      <c r="G19" s="2">
        <v>3</v>
      </c>
      <c r="H19">
        <v>1</v>
      </c>
      <c r="I19">
        <v>3</v>
      </c>
      <c r="J19" s="2">
        <v>3</v>
      </c>
      <c r="K19" s="2">
        <v>3</v>
      </c>
      <c r="L19" s="2">
        <v>3</v>
      </c>
      <c r="M19" s="2">
        <v>3</v>
      </c>
      <c r="N19" s="2">
        <v>3</v>
      </c>
      <c r="O19" s="2">
        <v>2</v>
      </c>
      <c r="P19">
        <v>2</v>
      </c>
      <c r="Q19" s="7">
        <f t="shared" si="0"/>
        <v>34</v>
      </c>
    </row>
    <row r="20" spans="1:17" x14ac:dyDescent="0.25">
      <c r="A20" t="s">
        <v>71</v>
      </c>
      <c r="B20" t="s">
        <v>2</v>
      </c>
      <c r="C20" t="s">
        <v>79</v>
      </c>
      <c r="D20">
        <v>3</v>
      </c>
      <c r="E20">
        <v>4</v>
      </c>
      <c r="F20" s="2">
        <v>3</v>
      </c>
      <c r="G20" s="2">
        <v>3</v>
      </c>
      <c r="H20">
        <v>2</v>
      </c>
      <c r="I20">
        <v>3</v>
      </c>
      <c r="J20" s="2">
        <v>3</v>
      </c>
      <c r="K20" s="2">
        <v>2</v>
      </c>
      <c r="L20" s="2">
        <v>3</v>
      </c>
      <c r="M20" s="2">
        <v>3</v>
      </c>
      <c r="N20" s="2">
        <v>2</v>
      </c>
      <c r="O20" s="2">
        <v>2</v>
      </c>
      <c r="P20">
        <v>2</v>
      </c>
      <c r="Q20" s="7">
        <f t="shared" si="0"/>
        <v>35</v>
      </c>
    </row>
    <row r="21" spans="1:17" x14ac:dyDescent="0.25">
      <c r="A21" t="s">
        <v>63</v>
      </c>
      <c r="B21" t="s">
        <v>2</v>
      </c>
      <c r="C21" t="s">
        <v>64</v>
      </c>
      <c r="D21">
        <v>2</v>
      </c>
      <c r="E21">
        <v>1</v>
      </c>
      <c r="F21" s="2">
        <v>1</v>
      </c>
      <c r="G21" s="2">
        <v>2</v>
      </c>
      <c r="H21">
        <v>1</v>
      </c>
      <c r="I21">
        <v>2</v>
      </c>
      <c r="J21" s="2">
        <v>1</v>
      </c>
      <c r="K21" s="2">
        <v>1</v>
      </c>
      <c r="L21" s="2">
        <v>3</v>
      </c>
      <c r="M21" s="2">
        <v>3</v>
      </c>
      <c r="N21" s="2">
        <v>2</v>
      </c>
      <c r="O21" s="2">
        <v>2</v>
      </c>
      <c r="P21">
        <v>2</v>
      </c>
      <c r="Q21" s="7">
        <f t="shared" si="0"/>
        <v>23</v>
      </c>
    </row>
    <row r="22" spans="1:17" x14ac:dyDescent="0.25">
      <c r="A22" t="s">
        <v>63</v>
      </c>
      <c r="B22" t="s">
        <v>2</v>
      </c>
      <c r="C22" t="s">
        <v>64</v>
      </c>
      <c r="D22">
        <v>2</v>
      </c>
      <c r="E22">
        <v>4</v>
      </c>
      <c r="F22" s="2">
        <v>3</v>
      </c>
      <c r="G22" s="2">
        <v>1</v>
      </c>
      <c r="H22">
        <v>3</v>
      </c>
      <c r="I22">
        <v>3</v>
      </c>
      <c r="J22" s="2">
        <v>3</v>
      </c>
      <c r="K22" s="2">
        <v>3</v>
      </c>
      <c r="L22" s="2">
        <v>1</v>
      </c>
      <c r="M22" s="2">
        <v>3</v>
      </c>
      <c r="N22" s="2">
        <v>4</v>
      </c>
      <c r="O22" s="2">
        <v>2</v>
      </c>
      <c r="P22">
        <v>2</v>
      </c>
      <c r="Q22" s="7">
        <f t="shared" si="0"/>
        <v>34</v>
      </c>
    </row>
    <row r="23" spans="1:17" x14ac:dyDescent="0.25">
      <c r="A23" t="s">
        <v>63</v>
      </c>
      <c r="B23" t="s">
        <v>2</v>
      </c>
      <c r="C23" t="s">
        <v>64</v>
      </c>
      <c r="D23">
        <v>2</v>
      </c>
      <c r="E23">
        <v>3</v>
      </c>
      <c r="F23" s="2">
        <v>1</v>
      </c>
      <c r="G23" s="2">
        <v>1</v>
      </c>
      <c r="H23">
        <v>2</v>
      </c>
      <c r="I23">
        <v>4</v>
      </c>
      <c r="J23" s="2">
        <v>3</v>
      </c>
      <c r="K23" s="2">
        <v>2</v>
      </c>
      <c r="L23" s="2">
        <v>3</v>
      </c>
      <c r="M23" s="2">
        <v>3</v>
      </c>
      <c r="N23" s="2">
        <v>1</v>
      </c>
      <c r="O23" s="2">
        <v>2</v>
      </c>
      <c r="P23">
        <v>2</v>
      </c>
      <c r="Q23" s="7">
        <f t="shared" si="0"/>
        <v>29</v>
      </c>
    </row>
    <row r="24" spans="1:17" x14ac:dyDescent="0.25">
      <c r="A24" t="s">
        <v>63</v>
      </c>
      <c r="B24" t="s">
        <v>2</v>
      </c>
      <c r="C24" t="s">
        <v>64</v>
      </c>
      <c r="D24">
        <v>2</v>
      </c>
      <c r="E24">
        <v>4</v>
      </c>
      <c r="F24" s="2">
        <v>3</v>
      </c>
      <c r="G24" s="2">
        <v>2</v>
      </c>
      <c r="H24">
        <v>2</v>
      </c>
      <c r="I24">
        <v>2</v>
      </c>
      <c r="J24" s="2">
        <v>2</v>
      </c>
      <c r="K24" s="2">
        <v>3</v>
      </c>
      <c r="L24" s="2">
        <v>3</v>
      </c>
      <c r="M24" s="2">
        <v>3</v>
      </c>
      <c r="N24" s="2">
        <v>3</v>
      </c>
      <c r="O24" s="2">
        <v>1</v>
      </c>
      <c r="P24">
        <v>2</v>
      </c>
      <c r="Q24" s="7">
        <f t="shared" si="0"/>
        <v>32</v>
      </c>
    </row>
    <row r="25" spans="1:17" x14ac:dyDescent="0.25">
      <c r="A25" t="s">
        <v>63</v>
      </c>
      <c r="B25" t="s">
        <v>2</v>
      </c>
      <c r="C25" t="s">
        <v>64</v>
      </c>
      <c r="D25">
        <v>3</v>
      </c>
      <c r="E25">
        <v>2</v>
      </c>
      <c r="F25" s="2">
        <v>2</v>
      </c>
      <c r="G25" s="2">
        <v>2</v>
      </c>
      <c r="H25">
        <v>2</v>
      </c>
      <c r="I25">
        <v>4</v>
      </c>
      <c r="J25" s="2">
        <v>2</v>
      </c>
      <c r="K25" s="2">
        <v>3</v>
      </c>
      <c r="L25" s="2">
        <v>1</v>
      </c>
      <c r="M25" s="2">
        <v>3</v>
      </c>
      <c r="N25" s="2">
        <v>2</v>
      </c>
      <c r="O25" s="2">
        <v>2</v>
      </c>
      <c r="P25">
        <v>2</v>
      </c>
      <c r="Q25" s="7">
        <f t="shared" si="0"/>
        <v>30</v>
      </c>
    </row>
    <row r="26" spans="1:17" x14ac:dyDescent="0.25">
      <c r="A26" t="s">
        <v>63</v>
      </c>
      <c r="B26" t="s">
        <v>2</v>
      </c>
      <c r="C26" t="s">
        <v>64</v>
      </c>
      <c r="D26">
        <v>1</v>
      </c>
      <c r="E26">
        <v>1</v>
      </c>
      <c r="F26" s="2">
        <v>1</v>
      </c>
      <c r="G26" s="2">
        <v>2</v>
      </c>
      <c r="H26">
        <v>1</v>
      </c>
      <c r="I26">
        <v>4</v>
      </c>
      <c r="J26" s="2">
        <v>3</v>
      </c>
      <c r="K26" s="2">
        <v>3</v>
      </c>
      <c r="L26" s="2">
        <v>1</v>
      </c>
      <c r="M26" s="2">
        <v>3</v>
      </c>
      <c r="N26" s="2">
        <v>2</v>
      </c>
      <c r="O26" s="2">
        <v>2</v>
      </c>
      <c r="P26">
        <v>2</v>
      </c>
      <c r="Q26" s="7">
        <f t="shared" si="0"/>
        <v>26</v>
      </c>
    </row>
    <row r="27" spans="1:17" x14ac:dyDescent="0.25">
      <c r="A27" t="s">
        <v>71</v>
      </c>
      <c r="B27" t="s">
        <v>2</v>
      </c>
      <c r="C27" t="s">
        <v>79</v>
      </c>
      <c r="D27">
        <v>2</v>
      </c>
      <c r="E27">
        <v>2</v>
      </c>
      <c r="F27" s="2">
        <v>2</v>
      </c>
      <c r="G27" s="2">
        <v>2</v>
      </c>
      <c r="H27">
        <v>1</v>
      </c>
      <c r="I27">
        <v>3</v>
      </c>
      <c r="J27" s="2">
        <v>3</v>
      </c>
      <c r="K27" s="2">
        <v>3</v>
      </c>
      <c r="L27" s="2">
        <v>1</v>
      </c>
      <c r="M27" s="2">
        <v>1</v>
      </c>
      <c r="N27" s="2">
        <v>3</v>
      </c>
      <c r="O27" s="2">
        <v>2</v>
      </c>
      <c r="P27">
        <v>1</v>
      </c>
      <c r="Q27" s="7">
        <f t="shared" si="0"/>
        <v>26</v>
      </c>
    </row>
    <row r="28" spans="1:17" x14ac:dyDescent="0.25">
      <c r="A28" t="s">
        <v>81</v>
      </c>
      <c r="B28" t="s">
        <v>2</v>
      </c>
      <c r="C28" t="s">
        <v>79</v>
      </c>
      <c r="D28">
        <v>3</v>
      </c>
      <c r="E28">
        <v>3</v>
      </c>
      <c r="F28" s="2">
        <v>3</v>
      </c>
      <c r="G28" s="2">
        <v>1</v>
      </c>
      <c r="H28">
        <v>3</v>
      </c>
      <c r="I28">
        <v>1</v>
      </c>
      <c r="J28" s="2">
        <v>2</v>
      </c>
      <c r="K28" s="2">
        <v>3</v>
      </c>
      <c r="L28" s="2">
        <v>3</v>
      </c>
      <c r="M28" s="2">
        <v>1</v>
      </c>
      <c r="N28" s="2">
        <v>2</v>
      </c>
      <c r="O28" s="2">
        <v>2</v>
      </c>
      <c r="P28">
        <v>3</v>
      </c>
      <c r="Q28" s="7">
        <f t="shared" si="0"/>
        <v>30</v>
      </c>
    </row>
    <row r="29" spans="1:17" x14ac:dyDescent="0.25">
      <c r="A29" t="s">
        <v>80</v>
      </c>
      <c r="B29" t="s">
        <v>2</v>
      </c>
      <c r="C29" t="s">
        <v>82</v>
      </c>
      <c r="D29">
        <v>4</v>
      </c>
      <c r="E29">
        <v>4</v>
      </c>
      <c r="F29" s="2">
        <v>4</v>
      </c>
      <c r="G29" s="2">
        <v>2</v>
      </c>
      <c r="H29">
        <v>3</v>
      </c>
      <c r="I29">
        <v>3</v>
      </c>
      <c r="J29" s="2">
        <v>2</v>
      </c>
      <c r="K29" s="2">
        <v>4</v>
      </c>
      <c r="L29" s="2">
        <v>3</v>
      </c>
      <c r="M29" s="2">
        <v>3</v>
      </c>
      <c r="N29" s="2">
        <v>2</v>
      </c>
      <c r="O29" s="2">
        <v>3</v>
      </c>
      <c r="P29" s="1">
        <v>4</v>
      </c>
      <c r="Q29" s="7">
        <f t="shared" si="0"/>
        <v>41</v>
      </c>
    </row>
    <row r="30" spans="1:17" x14ac:dyDescent="0.25">
      <c r="A30" t="s">
        <v>71</v>
      </c>
      <c r="B30" t="s">
        <v>2</v>
      </c>
      <c r="C30" t="s">
        <v>79</v>
      </c>
      <c r="D30">
        <v>2</v>
      </c>
      <c r="E30">
        <v>3</v>
      </c>
      <c r="F30" s="2">
        <v>1</v>
      </c>
      <c r="G30" s="2">
        <v>2</v>
      </c>
      <c r="H30">
        <v>1</v>
      </c>
      <c r="I30">
        <v>4</v>
      </c>
      <c r="J30" s="2">
        <v>2</v>
      </c>
      <c r="K30" s="2">
        <v>3</v>
      </c>
      <c r="L30" s="2">
        <v>3</v>
      </c>
      <c r="M30" s="2">
        <v>1</v>
      </c>
      <c r="N30" s="2">
        <v>3</v>
      </c>
      <c r="O30" s="2">
        <v>2</v>
      </c>
      <c r="P30">
        <v>2</v>
      </c>
      <c r="Q30" s="7">
        <f t="shared" si="0"/>
        <v>29</v>
      </c>
    </row>
    <row r="31" spans="1:17" x14ac:dyDescent="0.25">
      <c r="A31" t="s">
        <v>63</v>
      </c>
      <c r="B31" t="s">
        <v>2</v>
      </c>
      <c r="C31" t="s">
        <v>64</v>
      </c>
      <c r="D31">
        <v>4</v>
      </c>
      <c r="E31">
        <v>3</v>
      </c>
      <c r="F31" s="2">
        <v>3</v>
      </c>
      <c r="G31" s="2">
        <v>2</v>
      </c>
      <c r="H31">
        <v>1</v>
      </c>
      <c r="I31">
        <v>1</v>
      </c>
      <c r="J31" s="2">
        <v>3</v>
      </c>
      <c r="K31" s="2">
        <v>3</v>
      </c>
      <c r="L31" s="2">
        <v>1</v>
      </c>
      <c r="M31" s="2">
        <v>3</v>
      </c>
      <c r="N31" s="2">
        <v>3</v>
      </c>
      <c r="O31" s="2">
        <v>2</v>
      </c>
      <c r="P31">
        <v>3</v>
      </c>
      <c r="Q31" s="7">
        <f t="shared" si="0"/>
        <v>32</v>
      </c>
    </row>
    <row r="32" spans="1:17" x14ac:dyDescent="0.25">
      <c r="A32" t="s">
        <v>63</v>
      </c>
      <c r="B32" t="s">
        <v>2</v>
      </c>
      <c r="C32" t="s">
        <v>64</v>
      </c>
      <c r="D32">
        <v>4</v>
      </c>
      <c r="E32">
        <v>1</v>
      </c>
      <c r="F32" s="2">
        <v>3</v>
      </c>
      <c r="G32" s="2">
        <v>1</v>
      </c>
      <c r="H32">
        <v>1</v>
      </c>
      <c r="I32">
        <v>3</v>
      </c>
      <c r="J32" s="2">
        <v>2</v>
      </c>
      <c r="K32" s="2">
        <v>2</v>
      </c>
      <c r="L32" s="2">
        <v>3</v>
      </c>
      <c r="M32" s="4">
        <v>1</v>
      </c>
      <c r="N32" s="2">
        <v>1</v>
      </c>
      <c r="O32" s="2">
        <v>1</v>
      </c>
      <c r="P32">
        <v>2</v>
      </c>
      <c r="Q32" s="7">
        <f t="shared" si="0"/>
        <v>25</v>
      </c>
    </row>
    <row r="33" spans="1:17" ht="15.5" customHeight="1" x14ac:dyDescent="0.25">
      <c r="A33" t="s">
        <v>63</v>
      </c>
      <c r="B33" t="s">
        <v>2</v>
      </c>
      <c r="C33" t="s">
        <v>64</v>
      </c>
      <c r="Q33" s="7">
        <f t="shared" si="0"/>
        <v>0</v>
      </c>
    </row>
    <row r="34" spans="1:17" ht="16.5" customHeight="1" x14ac:dyDescent="0.25">
      <c r="A34" s="2" t="s">
        <v>63</v>
      </c>
      <c r="B34" s="2" t="s">
        <v>26</v>
      </c>
      <c r="C34" s="2" t="s">
        <v>64</v>
      </c>
      <c r="D34" s="2">
        <v>3</v>
      </c>
      <c r="E34" s="2">
        <v>2</v>
      </c>
      <c r="F34" s="4">
        <v>2</v>
      </c>
      <c r="G34" s="4">
        <v>2</v>
      </c>
      <c r="H34" s="4">
        <v>2</v>
      </c>
      <c r="I34" s="4">
        <v>2</v>
      </c>
      <c r="J34" s="4">
        <v>2</v>
      </c>
      <c r="K34" s="4">
        <v>2</v>
      </c>
      <c r="L34" s="4">
        <v>3</v>
      </c>
      <c r="M34" s="4">
        <v>3</v>
      </c>
      <c r="N34" s="4">
        <v>2</v>
      </c>
      <c r="O34" s="4">
        <v>2</v>
      </c>
      <c r="P34" s="4">
        <v>2</v>
      </c>
      <c r="Q34" s="7">
        <f t="shared" si="0"/>
        <v>29</v>
      </c>
    </row>
    <row r="35" spans="1:17" x14ac:dyDescent="0.25">
      <c r="A35" t="s">
        <v>63</v>
      </c>
      <c r="B35" t="s">
        <v>26</v>
      </c>
      <c r="C35" t="s">
        <v>64</v>
      </c>
      <c r="D35">
        <v>3</v>
      </c>
      <c r="E35">
        <v>1</v>
      </c>
      <c r="F35" s="2">
        <v>2</v>
      </c>
      <c r="G35" s="2">
        <v>2</v>
      </c>
      <c r="H35">
        <v>2</v>
      </c>
      <c r="I35">
        <v>2</v>
      </c>
      <c r="J35" s="2">
        <v>2</v>
      </c>
      <c r="K35" s="2">
        <v>2</v>
      </c>
      <c r="L35" s="4">
        <v>1</v>
      </c>
      <c r="M35" s="2">
        <v>3</v>
      </c>
      <c r="N35" s="2">
        <v>2</v>
      </c>
      <c r="O35" s="2">
        <v>2</v>
      </c>
      <c r="P35">
        <v>2</v>
      </c>
      <c r="Q35" s="7">
        <f t="shared" ref="Q35:Q66" si="1">SUM(D35:P35)</f>
        <v>26</v>
      </c>
    </row>
    <row r="36" spans="1:17" x14ac:dyDescent="0.25">
      <c r="A36" t="s">
        <v>63</v>
      </c>
      <c r="B36" t="s">
        <v>26</v>
      </c>
      <c r="C36" t="s">
        <v>64</v>
      </c>
      <c r="D36">
        <v>3</v>
      </c>
      <c r="E36" s="1">
        <v>1</v>
      </c>
      <c r="F36" s="2">
        <v>2</v>
      </c>
      <c r="G36" s="2">
        <v>2</v>
      </c>
      <c r="H36">
        <v>2</v>
      </c>
      <c r="I36">
        <v>2</v>
      </c>
      <c r="J36" s="2">
        <v>2</v>
      </c>
      <c r="K36" s="2">
        <v>2</v>
      </c>
      <c r="L36" s="2">
        <v>3</v>
      </c>
      <c r="M36" s="2">
        <v>3</v>
      </c>
      <c r="N36" s="2">
        <v>2</v>
      </c>
      <c r="O36" s="2">
        <v>2</v>
      </c>
      <c r="P36">
        <v>2</v>
      </c>
      <c r="Q36" s="7">
        <f t="shared" si="1"/>
        <v>28</v>
      </c>
    </row>
    <row r="37" spans="1:17" x14ac:dyDescent="0.25">
      <c r="A37" t="s">
        <v>63</v>
      </c>
      <c r="B37" t="s">
        <v>26</v>
      </c>
      <c r="C37" t="s">
        <v>64</v>
      </c>
      <c r="D37">
        <v>3</v>
      </c>
      <c r="E37">
        <v>1</v>
      </c>
      <c r="F37" s="2">
        <v>2</v>
      </c>
      <c r="G37" s="2">
        <v>3</v>
      </c>
      <c r="H37" s="1">
        <v>1</v>
      </c>
      <c r="I37">
        <v>2</v>
      </c>
      <c r="J37" s="4">
        <v>1</v>
      </c>
      <c r="K37" s="4">
        <v>3</v>
      </c>
      <c r="L37" s="2">
        <v>3</v>
      </c>
      <c r="M37" s="2">
        <v>3</v>
      </c>
      <c r="N37" s="4">
        <v>4</v>
      </c>
      <c r="O37" s="2">
        <v>2</v>
      </c>
      <c r="P37">
        <v>2</v>
      </c>
      <c r="Q37" s="7">
        <f t="shared" si="1"/>
        <v>30</v>
      </c>
    </row>
    <row r="38" spans="1:17" x14ac:dyDescent="0.25">
      <c r="A38" t="s">
        <v>63</v>
      </c>
      <c r="B38" t="s">
        <v>26</v>
      </c>
      <c r="C38" t="s">
        <v>64</v>
      </c>
      <c r="D38">
        <v>4</v>
      </c>
      <c r="E38">
        <v>1</v>
      </c>
      <c r="F38" s="2">
        <v>3</v>
      </c>
      <c r="G38" s="2">
        <v>1</v>
      </c>
      <c r="H38">
        <v>3</v>
      </c>
      <c r="I38">
        <v>3</v>
      </c>
      <c r="J38" s="2">
        <v>3</v>
      </c>
      <c r="K38" s="2">
        <v>3</v>
      </c>
      <c r="L38" s="2">
        <v>1</v>
      </c>
      <c r="M38" s="2">
        <v>1</v>
      </c>
      <c r="N38" s="2">
        <v>3</v>
      </c>
      <c r="O38" s="2">
        <v>2</v>
      </c>
      <c r="P38">
        <v>2</v>
      </c>
      <c r="Q38" s="7">
        <f t="shared" si="1"/>
        <v>30</v>
      </c>
    </row>
    <row r="39" spans="1:17" x14ac:dyDescent="0.25">
      <c r="A39" t="s">
        <v>63</v>
      </c>
      <c r="B39" t="s">
        <v>26</v>
      </c>
      <c r="C39" t="s">
        <v>64</v>
      </c>
      <c r="D39">
        <v>1</v>
      </c>
      <c r="E39">
        <v>2</v>
      </c>
      <c r="F39" s="2">
        <v>2</v>
      </c>
      <c r="G39" s="4">
        <v>1</v>
      </c>
      <c r="H39">
        <v>2</v>
      </c>
      <c r="I39">
        <v>2</v>
      </c>
      <c r="J39" s="2">
        <v>2</v>
      </c>
      <c r="K39" s="2">
        <v>2</v>
      </c>
      <c r="L39" s="2">
        <v>3</v>
      </c>
      <c r="M39" s="2">
        <v>3</v>
      </c>
      <c r="N39" s="2">
        <v>3</v>
      </c>
      <c r="O39" s="2">
        <v>2</v>
      </c>
      <c r="P39">
        <v>2</v>
      </c>
      <c r="Q39" s="7">
        <f t="shared" si="1"/>
        <v>27</v>
      </c>
    </row>
    <row r="40" spans="1:17" x14ac:dyDescent="0.25">
      <c r="A40" t="s">
        <v>63</v>
      </c>
      <c r="B40" t="s">
        <v>26</v>
      </c>
      <c r="C40" t="s">
        <v>64</v>
      </c>
      <c r="D40">
        <v>3</v>
      </c>
      <c r="E40">
        <v>1</v>
      </c>
      <c r="F40" s="2">
        <v>2</v>
      </c>
      <c r="G40" s="2">
        <v>3</v>
      </c>
      <c r="H40">
        <v>2</v>
      </c>
      <c r="I40">
        <v>2</v>
      </c>
      <c r="J40" s="2">
        <v>2</v>
      </c>
      <c r="K40" s="2">
        <v>2</v>
      </c>
      <c r="L40" s="2">
        <v>1</v>
      </c>
      <c r="M40" s="2">
        <v>1</v>
      </c>
      <c r="N40" s="2">
        <v>2</v>
      </c>
      <c r="O40" s="2">
        <v>2</v>
      </c>
      <c r="P40">
        <v>2</v>
      </c>
      <c r="Q40" s="7">
        <f t="shared" si="1"/>
        <v>25</v>
      </c>
    </row>
    <row r="41" spans="1:17" x14ac:dyDescent="0.25">
      <c r="A41" t="s">
        <v>63</v>
      </c>
      <c r="B41" t="s">
        <v>26</v>
      </c>
      <c r="C41" t="s">
        <v>64</v>
      </c>
      <c r="D41">
        <v>3</v>
      </c>
      <c r="E41">
        <v>2</v>
      </c>
      <c r="F41" s="2">
        <v>2</v>
      </c>
      <c r="G41" s="2">
        <v>2</v>
      </c>
      <c r="H41">
        <v>2</v>
      </c>
      <c r="I41">
        <v>2</v>
      </c>
      <c r="J41" s="2">
        <v>2</v>
      </c>
      <c r="K41" s="2">
        <v>2</v>
      </c>
      <c r="L41" s="2">
        <v>1</v>
      </c>
      <c r="M41" s="2">
        <v>1</v>
      </c>
      <c r="N41" s="2">
        <v>2</v>
      </c>
      <c r="O41" s="2">
        <v>2</v>
      </c>
      <c r="P41">
        <v>2</v>
      </c>
      <c r="Q41" s="7">
        <f t="shared" si="1"/>
        <v>25</v>
      </c>
    </row>
    <row r="42" spans="1:17" x14ac:dyDescent="0.25">
      <c r="A42" t="s">
        <v>63</v>
      </c>
      <c r="B42" t="s">
        <v>26</v>
      </c>
      <c r="C42" t="s">
        <v>64</v>
      </c>
      <c r="D42">
        <v>3</v>
      </c>
      <c r="E42">
        <v>3</v>
      </c>
      <c r="F42" s="2">
        <v>3</v>
      </c>
      <c r="G42" s="2">
        <v>3</v>
      </c>
      <c r="H42">
        <v>3</v>
      </c>
      <c r="I42" s="1">
        <v>4</v>
      </c>
      <c r="J42" s="4">
        <v>4</v>
      </c>
      <c r="K42" s="2">
        <v>3</v>
      </c>
      <c r="L42" s="2">
        <v>3</v>
      </c>
      <c r="M42" s="2">
        <v>3</v>
      </c>
      <c r="N42" s="2">
        <v>3</v>
      </c>
      <c r="O42" s="2">
        <v>2</v>
      </c>
      <c r="P42">
        <v>2</v>
      </c>
      <c r="Q42" s="7">
        <f t="shared" si="1"/>
        <v>39</v>
      </c>
    </row>
    <row r="43" spans="1:17" x14ac:dyDescent="0.25">
      <c r="A43" t="s">
        <v>71</v>
      </c>
      <c r="B43" t="s">
        <v>26</v>
      </c>
      <c r="C43" t="s">
        <v>78</v>
      </c>
      <c r="D43">
        <v>3</v>
      </c>
      <c r="E43">
        <v>1</v>
      </c>
      <c r="F43" s="2">
        <v>1</v>
      </c>
      <c r="G43" s="2">
        <v>3</v>
      </c>
      <c r="H43">
        <v>2</v>
      </c>
      <c r="I43" s="1">
        <v>1</v>
      </c>
      <c r="J43" s="2">
        <v>1</v>
      </c>
      <c r="K43" s="2">
        <v>1</v>
      </c>
      <c r="L43" s="2">
        <v>1</v>
      </c>
      <c r="M43" s="2">
        <v>3</v>
      </c>
      <c r="N43" s="2">
        <v>1</v>
      </c>
      <c r="O43" s="2">
        <v>1</v>
      </c>
      <c r="P43" s="1">
        <v>1</v>
      </c>
      <c r="Q43" s="7">
        <f t="shared" si="1"/>
        <v>20</v>
      </c>
    </row>
    <row r="44" spans="1:17" x14ac:dyDescent="0.25">
      <c r="A44" t="s">
        <v>63</v>
      </c>
      <c r="B44" t="s">
        <v>26</v>
      </c>
      <c r="C44" t="s">
        <v>64</v>
      </c>
      <c r="D44">
        <v>3</v>
      </c>
      <c r="E44">
        <v>4</v>
      </c>
      <c r="F44" s="2">
        <v>3</v>
      </c>
      <c r="G44" s="2">
        <v>2</v>
      </c>
      <c r="H44">
        <v>2</v>
      </c>
      <c r="I44">
        <v>4</v>
      </c>
      <c r="J44" s="2">
        <v>1</v>
      </c>
      <c r="K44" s="2">
        <v>1</v>
      </c>
      <c r="L44" s="2">
        <v>1</v>
      </c>
      <c r="M44" s="2">
        <v>3</v>
      </c>
      <c r="N44" s="2">
        <v>3</v>
      </c>
      <c r="O44" s="2">
        <v>2</v>
      </c>
      <c r="P44">
        <v>1</v>
      </c>
      <c r="Q44" s="7">
        <f t="shared" si="1"/>
        <v>30</v>
      </c>
    </row>
    <row r="45" spans="1:17" x14ac:dyDescent="0.25">
      <c r="A45" t="s">
        <v>63</v>
      </c>
      <c r="B45" t="s">
        <v>26</v>
      </c>
      <c r="C45" t="s">
        <v>64</v>
      </c>
      <c r="D45">
        <v>3</v>
      </c>
      <c r="E45">
        <v>3</v>
      </c>
      <c r="F45" s="2">
        <v>2</v>
      </c>
      <c r="G45" s="2">
        <v>2</v>
      </c>
      <c r="H45">
        <v>2</v>
      </c>
      <c r="I45">
        <v>2</v>
      </c>
      <c r="J45" s="2">
        <v>2</v>
      </c>
      <c r="K45" s="4">
        <v>3</v>
      </c>
      <c r="L45" s="2">
        <v>3</v>
      </c>
      <c r="M45" s="2">
        <v>3</v>
      </c>
      <c r="N45" s="2">
        <v>2</v>
      </c>
      <c r="O45" s="2">
        <v>2</v>
      </c>
      <c r="P45">
        <v>2</v>
      </c>
      <c r="Q45" s="7">
        <f t="shared" si="1"/>
        <v>31</v>
      </c>
    </row>
    <row r="46" spans="1:17" x14ac:dyDescent="0.25">
      <c r="A46" t="s">
        <v>71</v>
      </c>
      <c r="B46" t="s">
        <v>26</v>
      </c>
      <c r="C46" t="s">
        <v>79</v>
      </c>
      <c r="D46">
        <v>3</v>
      </c>
      <c r="E46">
        <v>3</v>
      </c>
      <c r="F46" s="2">
        <v>3</v>
      </c>
      <c r="G46" s="2">
        <v>2</v>
      </c>
      <c r="H46">
        <v>1</v>
      </c>
      <c r="I46">
        <v>3</v>
      </c>
      <c r="J46" s="2">
        <v>2</v>
      </c>
      <c r="K46" s="2">
        <v>2</v>
      </c>
      <c r="L46" s="2">
        <v>1</v>
      </c>
      <c r="M46" s="2">
        <v>3</v>
      </c>
      <c r="N46" s="2">
        <v>2</v>
      </c>
      <c r="O46" s="2">
        <v>2</v>
      </c>
      <c r="P46">
        <v>3</v>
      </c>
      <c r="Q46" s="7">
        <f t="shared" si="1"/>
        <v>30</v>
      </c>
    </row>
    <row r="47" spans="1:17" x14ac:dyDescent="0.25">
      <c r="A47" t="s">
        <v>63</v>
      </c>
      <c r="B47" t="s">
        <v>26</v>
      </c>
      <c r="C47" t="s">
        <v>64</v>
      </c>
      <c r="D47">
        <v>3</v>
      </c>
      <c r="E47">
        <v>3</v>
      </c>
      <c r="F47" s="2">
        <v>3</v>
      </c>
      <c r="G47" s="2">
        <v>2</v>
      </c>
      <c r="H47">
        <v>2</v>
      </c>
      <c r="I47">
        <v>2</v>
      </c>
      <c r="J47" s="2">
        <v>2</v>
      </c>
      <c r="K47" s="2">
        <v>3</v>
      </c>
      <c r="L47" s="2">
        <v>3</v>
      </c>
      <c r="M47" s="2">
        <v>3</v>
      </c>
      <c r="N47" s="2">
        <v>2</v>
      </c>
      <c r="O47" s="2">
        <v>2</v>
      </c>
      <c r="P47">
        <v>2</v>
      </c>
      <c r="Q47" s="7">
        <f t="shared" si="1"/>
        <v>32</v>
      </c>
    </row>
    <row r="48" spans="1:17" x14ac:dyDescent="0.25">
      <c r="A48" t="s">
        <v>63</v>
      </c>
      <c r="B48" t="s">
        <v>26</v>
      </c>
      <c r="C48" t="s">
        <v>64</v>
      </c>
      <c r="D48" s="1">
        <v>1</v>
      </c>
      <c r="E48">
        <v>1</v>
      </c>
      <c r="F48" s="2">
        <v>2</v>
      </c>
      <c r="G48" s="2">
        <v>3</v>
      </c>
      <c r="H48">
        <v>2</v>
      </c>
      <c r="I48">
        <v>3</v>
      </c>
      <c r="J48" s="2">
        <v>3</v>
      </c>
      <c r="K48" s="2">
        <v>1</v>
      </c>
      <c r="L48" s="2">
        <v>1</v>
      </c>
      <c r="M48" s="2">
        <v>3</v>
      </c>
      <c r="N48" s="2">
        <v>2</v>
      </c>
      <c r="O48" s="4">
        <v>1</v>
      </c>
      <c r="P48">
        <v>1</v>
      </c>
      <c r="Q48" s="7">
        <f t="shared" si="1"/>
        <v>24</v>
      </c>
    </row>
    <row r="49" spans="1:17" x14ac:dyDescent="0.25">
      <c r="A49" t="s">
        <v>63</v>
      </c>
      <c r="B49" t="s">
        <v>26</v>
      </c>
      <c r="C49" t="s">
        <v>64</v>
      </c>
      <c r="D49">
        <v>2</v>
      </c>
      <c r="E49">
        <v>1</v>
      </c>
      <c r="F49" s="2">
        <v>3</v>
      </c>
      <c r="G49" s="2">
        <v>3</v>
      </c>
      <c r="H49">
        <v>2</v>
      </c>
      <c r="I49">
        <v>2</v>
      </c>
      <c r="J49" s="2">
        <v>1</v>
      </c>
      <c r="K49" s="2">
        <v>4</v>
      </c>
      <c r="L49" s="2">
        <v>1</v>
      </c>
      <c r="M49" s="2">
        <v>3</v>
      </c>
      <c r="N49" s="2">
        <v>4</v>
      </c>
      <c r="O49" s="2">
        <v>1</v>
      </c>
      <c r="P49">
        <v>2</v>
      </c>
      <c r="Q49" s="7">
        <f t="shared" si="1"/>
        <v>29</v>
      </c>
    </row>
    <row r="50" spans="1:17" x14ac:dyDescent="0.25">
      <c r="A50" t="s">
        <v>63</v>
      </c>
      <c r="B50" t="s">
        <v>26</v>
      </c>
      <c r="C50" t="s">
        <v>64</v>
      </c>
      <c r="D50">
        <v>3</v>
      </c>
      <c r="E50">
        <v>4</v>
      </c>
      <c r="F50" s="2">
        <v>4</v>
      </c>
      <c r="G50" s="2">
        <v>2</v>
      </c>
      <c r="H50">
        <v>2</v>
      </c>
      <c r="I50">
        <v>4</v>
      </c>
      <c r="J50" s="4">
        <v>2</v>
      </c>
      <c r="K50" s="2">
        <v>4</v>
      </c>
      <c r="L50" s="2">
        <v>1</v>
      </c>
      <c r="M50" s="2">
        <v>1</v>
      </c>
      <c r="N50" s="2">
        <v>4</v>
      </c>
      <c r="O50" s="2">
        <v>1</v>
      </c>
      <c r="P50">
        <v>2</v>
      </c>
      <c r="Q50" s="7">
        <f t="shared" si="1"/>
        <v>34</v>
      </c>
    </row>
    <row r="51" spans="1:17" x14ac:dyDescent="0.25">
      <c r="A51" t="s">
        <v>81</v>
      </c>
      <c r="B51" t="s">
        <v>26</v>
      </c>
      <c r="C51" t="s">
        <v>78</v>
      </c>
      <c r="D51">
        <v>4</v>
      </c>
      <c r="E51">
        <v>3</v>
      </c>
      <c r="F51" s="2">
        <v>3</v>
      </c>
      <c r="G51" s="2">
        <v>2</v>
      </c>
      <c r="H51">
        <v>3</v>
      </c>
      <c r="I51">
        <v>4</v>
      </c>
      <c r="J51" s="2">
        <v>2</v>
      </c>
      <c r="K51" s="2">
        <v>4</v>
      </c>
      <c r="L51" s="2">
        <v>3</v>
      </c>
      <c r="M51" s="2">
        <v>1</v>
      </c>
      <c r="N51" s="2">
        <v>2</v>
      </c>
      <c r="O51" s="4">
        <v>3</v>
      </c>
      <c r="P51">
        <v>3</v>
      </c>
      <c r="Q51" s="7">
        <f t="shared" si="1"/>
        <v>37</v>
      </c>
    </row>
    <row r="52" spans="1:17" x14ac:dyDescent="0.25">
      <c r="A52" t="s">
        <v>80</v>
      </c>
      <c r="B52" t="s">
        <v>26</v>
      </c>
      <c r="C52" t="s">
        <v>82</v>
      </c>
      <c r="D52">
        <v>2</v>
      </c>
      <c r="E52">
        <v>3</v>
      </c>
      <c r="F52" s="2">
        <v>3</v>
      </c>
      <c r="G52" s="2">
        <v>2</v>
      </c>
      <c r="H52">
        <v>2</v>
      </c>
      <c r="I52">
        <v>2</v>
      </c>
      <c r="J52" s="2">
        <v>3</v>
      </c>
      <c r="K52" s="2">
        <v>4</v>
      </c>
      <c r="L52" s="2">
        <v>3</v>
      </c>
      <c r="M52" s="2">
        <v>1</v>
      </c>
      <c r="N52" s="2">
        <v>4</v>
      </c>
      <c r="O52" s="2">
        <v>3</v>
      </c>
      <c r="P52">
        <v>3</v>
      </c>
      <c r="Q52" s="7">
        <f t="shared" si="1"/>
        <v>35</v>
      </c>
    </row>
    <row r="53" spans="1:17" x14ac:dyDescent="0.25">
      <c r="A53" t="s">
        <v>71</v>
      </c>
      <c r="B53" t="s">
        <v>26</v>
      </c>
      <c r="C53" t="s">
        <v>79</v>
      </c>
      <c r="D53">
        <v>2</v>
      </c>
      <c r="E53">
        <v>4</v>
      </c>
      <c r="F53" s="2">
        <v>3</v>
      </c>
      <c r="G53" s="2">
        <v>3</v>
      </c>
      <c r="H53">
        <v>2</v>
      </c>
      <c r="I53">
        <v>2</v>
      </c>
      <c r="J53" s="2">
        <v>3</v>
      </c>
      <c r="K53" s="2">
        <v>4</v>
      </c>
      <c r="L53" s="2">
        <v>3</v>
      </c>
      <c r="M53" s="2">
        <v>3</v>
      </c>
      <c r="N53" s="2">
        <v>2</v>
      </c>
      <c r="O53" s="2">
        <v>2</v>
      </c>
      <c r="P53">
        <v>3</v>
      </c>
      <c r="Q53" s="7">
        <f t="shared" si="1"/>
        <v>36</v>
      </c>
    </row>
    <row r="54" spans="1:17" x14ac:dyDescent="0.25">
      <c r="A54" t="s">
        <v>81</v>
      </c>
      <c r="B54" t="s">
        <v>26</v>
      </c>
      <c r="C54" t="s">
        <v>79</v>
      </c>
      <c r="D54">
        <v>1</v>
      </c>
      <c r="E54">
        <v>1</v>
      </c>
      <c r="F54" s="2">
        <v>1</v>
      </c>
      <c r="G54" s="2">
        <v>1</v>
      </c>
      <c r="H54">
        <v>1</v>
      </c>
      <c r="I54">
        <v>1</v>
      </c>
      <c r="J54" s="2">
        <v>3</v>
      </c>
      <c r="K54" s="2">
        <v>2</v>
      </c>
      <c r="L54" s="2">
        <v>1</v>
      </c>
      <c r="M54" s="2">
        <v>1</v>
      </c>
      <c r="N54" s="2">
        <v>4</v>
      </c>
      <c r="O54" s="2">
        <v>1</v>
      </c>
      <c r="P54">
        <v>1</v>
      </c>
      <c r="Q54" s="7">
        <f t="shared" si="1"/>
        <v>19</v>
      </c>
    </row>
    <row r="55" spans="1:17" x14ac:dyDescent="0.25">
      <c r="A55" t="s">
        <v>71</v>
      </c>
      <c r="B55" t="s">
        <v>26</v>
      </c>
      <c r="C55" t="s">
        <v>79</v>
      </c>
      <c r="D55">
        <v>2</v>
      </c>
      <c r="E55">
        <v>3</v>
      </c>
      <c r="F55" s="2">
        <v>1</v>
      </c>
      <c r="G55" s="2">
        <v>1</v>
      </c>
      <c r="H55">
        <v>2</v>
      </c>
      <c r="I55">
        <v>3</v>
      </c>
      <c r="J55" s="2">
        <v>4</v>
      </c>
      <c r="K55" s="2">
        <v>3</v>
      </c>
      <c r="L55" s="2">
        <v>1</v>
      </c>
      <c r="M55" s="2">
        <v>1</v>
      </c>
      <c r="N55" s="2">
        <v>1</v>
      </c>
      <c r="O55" s="2">
        <v>2</v>
      </c>
      <c r="P55">
        <v>2</v>
      </c>
      <c r="Q55" s="7">
        <f t="shared" si="1"/>
        <v>26</v>
      </c>
    </row>
    <row r="56" spans="1:17" x14ac:dyDescent="0.25">
      <c r="A56" t="s">
        <v>63</v>
      </c>
      <c r="B56" t="s">
        <v>26</v>
      </c>
      <c r="C56" t="s">
        <v>64</v>
      </c>
      <c r="D56">
        <v>1</v>
      </c>
      <c r="E56">
        <v>1</v>
      </c>
      <c r="F56" s="2">
        <v>1</v>
      </c>
      <c r="G56" s="2">
        <v>1</v>
      </c>
      <c r="H56">
        <v>1</v>
      </c>
      <c r="I56">
        <v>1</v>
      </c>
      <c r="J56" s="2">
        <v>1</v>
      </c>
      <c r="K56" s="2">
        <v>2</v>
      </c>
      <c r="L56" s="2">
        <v>1</v>
      </c>
      <c r="M56" s="2">
        <v>1</v>
      </c>
      <c r="N56" s="2">
        <v>2</v>
      </c>
      <c r="O56" s="2">
        <v>1</v>
      </c>
      <c r="P56">
        <v>1</v>
      </c>
      <c r="Q56" s="7">
        <f t="shared" si="1"/>
        <v>15</v>
      </c>
    </row>
    <row r="57" spans="1:17" x14ac:dyDescent="0.25">
      <c r="A57" t="s">
        <v>63</v>
      </c>
      <c r="B57" t="s">
        <v>26</v>
      </c>
      <c r="C57" t="s">
        <v>64</v>
      </c>
      <c r="E57">
        <v>2</v>
      </c>
      <c r="F57" s="2">
        <v>4</v>
      </c>
      <c r="G57" s="2">
        <v>2</v>
      </c>
      <c r="H57">
        <v>2</v>
      </c>
      <c r="I57">
        <v>2</v>
      </c>
      <c r="J57" s="2">
        <v>2</v>
      </c>
      <c r="K57" s="2">
        <v>3</v>
      </c>
      <c r="L57" s="2">
        <v>1</v>
      </c>
      <c r="M57" s="2">
        <v>3</v>
      </c>
      <c r="N57" s="2">
        <v>1</v>
      </c>
      <c r="O57" s="2">
        <v>2</v>
      </c>
      <c r="P57">
        <v>3</v>
      </c>
      <c r="Q57" s="7">
        <f t="shared" si="1"/>
        <v>27</v>
      </c>
    </row>
    <row r="58" spans="1:17" x14ac:dyDescent="0.25">
      <c r="A58" t="s">
        <v>63</v>
      </c>
      <c r="B58" t="s">
        <v>26</v>
      </c>
      <c r="C58" t="s">
        <v>79</v>
      </c>
      <c r="D58">
        <v>4</v>
      </c>
      <c r="E58">
        <v>2</v>
      </c>
      <c r="F58" s="2">
        <v>2</v>
      </c>
      <c r="G58" s="2">
        <v>1</v>
      </c>
      <c r="H58">
        <v>2</v>
      </c>
      <c r="I58">
        <v>2</v>
      </c>
      <c r="J58" s="2">
        <v>2</v>
      </c>
      <c r="K58" s="2">
        <v>2</v>
      </c>
      <c r="L58" s="2">
        <v>1</v>
      </c>
      <c r="M58" s="2">
        <v>1</v>
      </c>
      <c r="N58" s="2">
        <v>1</v>
      </c>
      <c r="O58" s="2">
        <v>2</v>
      </c>
      <c r="P58">
        <v>2</v>
      </c>
      <c r="Q58" s="7">
        <f t="shared" si="1"/>
        <v>24</v>
      </c>
    </row>
    <row r="59" spans="1:17" x14ac:dyDescent="0.25">
      <c r="A59" t="s">
        <v>81</v>
      </c>
      <c r="B59" t="s">
        <v>26</v>
      </c>
      <c r="C59" t="s">
        <v>79</v>
      </c>
      <c r="D59">
        <v>3</v>
      </c>
      <c r="E59">
        <v>2</v>
      </c>
      <c r="F59" s="2">
        <v>2</v>
      </c>
      <c r="G59" s="2">
        <v>1</v>
      </c>
      <c r="H59">
        <v>2</v>
      </c>
      <c r="I59">
        <v>2</v>
      </c>
      <c r="J59" s="2">
        <v>3</v>
      </c>
      <c r="K59" s="2">
        <v>2</v>
      </c>
      <c r="L59" s="2">
        <v>3</v>
      </c>
      <c r="M59" s="2">
        <v>3</v>
      </c>
      <c r="N59" s="2">
        <v>3</v>
      </c>
      <c r="O59" s="2">
        <v>2</v>
      </c>
      <c r="P59">
        <v>2</v>
      </c>
      <c r="Q59" s="7">
        <f t="shared" si="1"/>
        <v>30</v>
      </c>
    </row>
    <row r="60" spans="1:17" x14ac:dyDescent="0.25">
      <c r="A60" t="s">
        <v>63</v>
      </c>
      <c r="B60" t="s">
        <v>26</v>
      </c>
      <c r="C60" t="s">
        <v>64</v>
      </c>
      <c r="D60">
        <v>1</v>
      </c>
      <c r="E60">
        <v>1</v>
      </c>
      <c r="F60" s="2">
        <v>3</v>
      </c>
      <c r="G60" s="2">
        <v>1</v>
      </c>
      <c r="H60">
        <v>1</v>
      </c>
      <c r="I60">
        <v>4</v>
      </c>
      <c r="J60" s="2">
        <v>2</v>
      </c>
      <c r="K60" s="2">
        <v>1</v>
      </c>
      <c r="L60" s="2">
        <v>1</v>
      </c>
      <c r="M60" s="2">
        <v>3</v>
      </c>
      <c r="N60" s="2">
        <v>1</v>
      </c>
      <c r="O60" s="2">
        <v>1</v>
      </c>
      <c r="P60">
        <v>1</v>
      </c>
      <c r="Q60" s="7">
        <f t="shared" si="1"/>
        <v>21</v>
      </c>
    </row>
    <row r="61" spans="1:17" x14ac:dyDescent="0.25">
      <c r="A61" t="s">
        <v>63</v>
      </c>
      <c r="B61" t="s">
        <v>26</v>
      </c>
      <c r="C61" t="s">
        <v>79</v>
      </c>
      <c r="D61">
        <v>2</v>
      </c>
      <c r="E61">
        <v>3</v>
      </c>
      <c r="F61" s="2">
        <v>2</v>
      </c>
      <c r="G61" s="2">
        <v>3</v>
      </c>
      <c r="H61">
        <v>2</v>
      </c>
      <c r="I61">
        <v>3</v>
      </c>
      <c r="J61" s="2">
        <v>4</v>
      </c>
      <c r="K61" s="2">
        <v>2</v>
      </c>
      <c r="L61" s="2">
        <v>3</v>
      </c>
      <c r="M61" s="2">
        <v>1</v>
      </c>
      <c r="N61" s="2">
        <v>1</v>
      </c>
      <c r="O61" s="2">
        <v>3</v>
      </c>
      <c r="P61">
        <v>1</v>
      </c>
      <c r="Q61" s="7">
        <f t="shared" si="1"/>
        <v>30</v>
      </c>
    </row>
    <row r="62" spans="1:17" x14ac:dyDescent="0.25">
      <c r="A62" t="s">
        <v>80</v>
      </c>
      <c r="B62" t="s">
        <v>26</v>
      </c>
      <c r="C62" t="s">
        <v>78</v>
      </c>
      <c r="D62">
        <v>4</v>
      </c>
      <c r="E62">
        <v>4</v>
      </c>
      <c r="F62" s="2">
        <v>3</v>
      </c>
      <c r="G62" s="2">
        <v>2</v>
      </c>
      <c r="H62">
        <v>3</v>
      </c>
      <c r="I62">
        <v>4</v>
      </c>
      <c r="J62" s="2">
        <v>3</v>
      </c>
      <c r="K62" s="2">
        <v>4</v>
      </c>
      <c r="L62" s="2">
        <v>3</v>
      </c>
      <c r="M62" s="2">
        <v>1</v>
      </c>
      <c r="N62" s="2">
        <v>4</v>
      </c>
      <c r="O62" s="2">
        <v>3</v>
      </c>
      <c r="P62">
        <v>4</v>
      </c>
      <c r="Q62" s="7">
        <f t="shared" si="1"/>
        <v>42</v>
      </c>
    </row>
    <row r="63" spans="1:17" x14ac:dyDescent="0.25">
      <c r="A63" t="s">
        <v>80</v>
      </c>
      <c r="B63" t="s">
        <v>26</v>
      </c>
      <c r="C63" t="s">
        <v>78</v>
      </c>
      <c r="D63">
        <v>3</v>
      </c>
      <c r="E63">
        <v>2</v>
      </c>
      <c r="F63" s="2">
        <v>3</v>
      </c>
      <c r="G63" s="2">
        <v>1</v>
      </c>
      <c r="H63">
        <v>2</v>
      </c>
      <c r="I63">
        <v>3</v>
      </c>
      <c r="J63" s="2">
        <v>3</v>
      </c>
      <c r="K63" s="2">
        <v>2</v>
      </c>
      <c r="L63" s="2">
        <v>3</v>
      </c>
      <c r="M63" s="2">
        <v>1</v>
      </c>
      <c r="O63" s="2">
        <v>2</v>
      </c>
      <c r="P63">
        <v>3</v>
      </c>
      <c r="Q63" s="7">
        <f t="shared" si="1"/>
        <v>28</v>
      </c>
    </row>
    <row r="64" spans="1:17" x14ac:dyDescent="0.25">
      <c r="A64" t="s">
        <v>81</v>
      </c>
      <c r="B64" t="s">
        <v>26</v>
      </c>
      <c r="C64" t="s">
        <v>78</v>
      </c>
      <c r="D64">
        <v>1</v>
      </c>
      <c r="E64">
        <v>3</v>
      </c>
      <c r="F64" s="2">
        <v>3</v>
      </c>
      <c r="G64" s="2">
        <v>1</v>
      </c>
      <c r="H64">
        <v>2</v>
      </c>
      <c r="I64">
        <v>4</v>
      </c>
      <c r="J64" s="2">
        <v>3</v>
      </c>
      <c r="K64" s="2">
        <v>2</v>
      </c>
      <c r="L64" s="2">
        <v>3</v>
      </c>
      <c r="M64" s="2">
        <v>3</v>
      </c>
      <c r="N64" s="2">
        <v>3</v>
      </c>
      <c r="O64" s="2">
        <v>2</v>
      </c>
      <c r="P64">
        <v>4</v>
      </c>
      <c r="Q64" s="7">
        <f t="shared" si="1"/>
        <v>34</v>
      </c>
    </row>
    <row r="65" spans="1:17" x14ac:dyDescent="0.25">
      <c r="A65" t="s">
        <v>81</v>
      </c>
      <c r="B65" t="s">
        <v>26</v>
      </c>
      <c r="C65" t="s">
        <v>79</v>
      </c>
      <c r="D65">
        <v>3</v>
      </c>
      <c r="E65">
        <v>2</v>
      </c>
      <c r="G65" s="2">
        <v>1</v>
      </c>
      <c r="H65">
        <v>1</v>
      </c>
      <c r="I65">
        <v>2</v>
      </c>
      <c r="J65" s="2">
        <v>3</v>
      </c>
      <c r="K65" s="2">
        <v>2</v>
      </c>
      <c r="L65" s="2">
        <v>3</v>
      </c>
      <c r="M65" s="2">
        <v>1</v>
      </c>
      <c r="N65" s="2">
        <v>3</v>
      </c>
      <c r="O65" s="2">
        <v>2</v>
      </c>
      <c r="P65">
        <v>1</v>
      </c>
      <c r="Q65" s="7">
        <f t="shared" si="1"/>
        <v>24</v>
      </c>
    </row>
    <row r="66" spans="1:17" x14ac:dyDescent="0.25">
      <c r="A66" t="s">
        <v>63</v>
      </c>
      <c r="B66" t="s">
        <v>26</v>
      </c>
      <c r="C66" t="s">
        <v>79</v>
      </c>
      <c r="F66" s="2">
        <v>1</v>
      </c>
      <c r="G66" s="2">
        <v>1</v>
      </c>
      <c r="H66">
        <v>1</v>
      </c>
      <c r="I66">
        <v>1</v>
      </c>
      <c r="J66" s="2">
        <v>1</v>
      </c>
      <c r="Q66" s="7">
        <f t="shared" si="1"/>
        <v>5</v>
      </c>
    </row>
    <row r="67" spans="1:17" x14ac:dyDescent="0.25">
      <c r="A67" t="s">
        <v>63</v>
      </c>
      <c r="B67" t="s">
        <v>26</v>
      </c>
      <c r="C67" t="s">
        <v>64</v>
      </c>
      <c r="D67">
        <v>4</v>
      </c>
      <c r="E67">
        <v>2</v>
      </c>
      <c r="F67" s="2">
        <v>2</v>
      </c>
      <c r="G67" s="2">
        <v>2</v>
      </c>
      <c r="H67">
        <v>1</v>
      </c>
      <c r="I67">
        <v>2</v>
      </c>
      <c r="J67" s="2">
        <v>1</v>
      </c>
      <c r="K67" s="2">
        <v>2</v>
      </c>
      <c r="L67" s="2">
        <v>3</v>
      </c>
      <c r="M67" s="2">
        <v>3</v>
      </c>
      <c r="N67" s="2">
        <v>3</v>
      </c>
      <c r="O67" s="2">
        <v>2</v>
      </c>
      <c r="P67">
        <v>1</v>
      </c>
      <c r="Q67" s="7">
        <f t="shared" ref="Q67:Q68" si="2">SUM(D67:P67)</f>
        <v>28</v>
      </c>
    </row>
    <row r="68" spans="1:17" x14ac:dyDescent="0.25">
      <c r="A68" t="s">
        <v>63</v>
      </c>
      <c r="B68" t="s">
        <v>26</v>
      </c>
      <c r="C68" t="s">
        <v>82</v>
      </c>
      <c r="D68">
        <v>4</v>
      </c>
      <c r="E68">
        <v>4</v>
      </c>
      <c r="F68" s="2">
        <v>1</v>
      </c>
      <c r="G68" s="2">
        <v>2</v>
      </c>
      <c r="H68">
        <v>3</v>
      </c>
      <c r="I68">
        <v>3</v>
      </c>
      <c r="J68" s="2">
        <v>3</v>
      </c>
      <c r="K68" s="2">
        <v>4</v>
      </c>
      <c r="L68" s="2">
        <v>3</v>
      </c>
      <c r="M68" s="2">
        <v>3</v>
      </c>
      <c r="N68" s="2">
        <v>3</v>
      </c>
      <c r="O68" s="2">
        <v>2</v>
      </c>
      <c r="P68">
        <v>2</v>
      </c>
      <c r="Q68" s="7">
        <f t="shared" si="2"/>
        <v>37</v>
      </c>
    </row>
  </sheetData>
  <autoFilter ref="B1:B68" xr:uid="{3058B999-1DF0-463F-B7B9-28A07D6D4800}">
    <sortState xmlns:xlrd2="http://schemas.microsoft.com/office/spreadsheetml/2017/richdata2" ref="A2:Q68">
      <sortCondition ref="B1:B6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581-AFDC-4B65-BBBF-D82B38DC5F33}">
  <dimension ref="A1:P68"/>
  <sheetViews>
    <sheetView topLeftCell="E57" workbookViewId="0">
      <selection activeCell="P3" sqref="P3"/>
    </sheetView>
  </sheetViews>
  <sheetFormatPr defaultRowHeight="12.5" x14ac:dyDescent="0.25"/>
  <cols>
    <col min="1" max="1" width="8.7265625" style="15"/>
    <col min="2" max="2" width="14.81640625" style="15" customWidth="1"/>
    <col min="3" max="3" width="12.81640625" style="15" customWidth="1"/>
    <col min="4" max="4" width="11.26953125" style="15" customWidth="1"/>
    <col min="5" max="5" width="12.453125" style="17" customWidth="1"/>
    <col min="6" max="6" width="12.36328125" style="17" customWidth="1"/>
    <col min="7" max="7" width="11.7265625" style="15" customWidth="1"/>
    <col min="8" max="8" width="11.6328125" style="15" customWidth="1"/>
    <col min="9" max="9" width="13.453125" style="17" customWidth="1"/>
    <col min="10" max="11" width="13.36328125" style="17" customWidth="1"/>
    <col min="12" max="12" width="12.453125" style="17" customWidth="1"/>
    <col min="13" max="13" width="11.81640625" style="17" customWidth="1"/>
    <col min="14" max="14" width="14.26953125" style="17" customWidth="1"/>
    <col min="15" max="15" width="13.7265625" style="15" customWidth="1"/>
    <col min="16" max="16" width="8.7265625" style="20"/>
    <col min="17" max="16384" width="8.7265625" style="15"/>
  </cols>
  <sheetData>
    <row r="1" spans="1:16" s="13" customFormat="1" ht="100.5" customHeight="1" x14ac:dyDescent="0.25">
      <c r="A1" s="13" t="s">
        <v>1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  <c r="M1" s="13" t="s">
        <v>60</v>
      </c>
      <c r="N1" s="13" t="s">
        <v>61</v>
      </c>
      <c r="O1" s="13" t="s">
        <v>62</v>
      </c>
      <c r="P1" s="14" t="s">
        <v>83</v>
      </c>
    </row>
    <row r="2" spans="1:16" s="13" customFormat="1" ht="28.5" customHeight="1" x14ac:dyDescent="0.25">
      <c r="P2" s="14"/>
    </row>
    <row r="3" spans="1:16" s="17" customFormat="1" ht="40.5" customHeight="1" x14ac:dyDescent="0.25">
      <c r="A3" s="15" t="s">
        <v>71</v>
      </c>
      <c r="B3" s="16" t="s">
        <v>115</v>
      </c>
      <c r="C3" s="15">
        <v>3</v>
      </c>
      <c r="D3" s="16">
        <v>2</v>
      </c>
      <c r="E3" s="17">
        <v>2</v>
      </c>
      <c r="F3" s="17">
        <v>2</v>
      </c>
      <c r="G3" s="15">
        <v>2</v>
      </c>
      <c r="H3" s="15">
        <v>2</v>
      </c>
      <c r="I3" s="17">
        <v>2</v>
      </c>
      <c r="J3" s="17">
        <v>2</v>
      </c>
      <c r="K3" s="17">
        <v>3</v>
      </c>
      <c r="L3" s="17">
        <v>3</v>
      </c>
      <c r="M3" s="18">
        <v>3</v>
      </c>
      <c r="N3" s="17">
        <v>2</v>
      </c>
      <c r="O3" s="15">
        <v>2</v>
      </c>
      <c r="P3" s="19"/>
    </row>
    <row r="4" spans="1:16" x14ac:dyDescent="0.25">
      <c r="A4" s="15" t="s">
        <v>63</v>
      </c>
      <c r="B4" s="15" t="s">
        <v>115</v>
      </c>
      <c r="C4" s="15">
        <v>4</v>
      </c>
      <c r="D4" s="16">
        <v>4</v>
      </c>
      <c r="E4" s="17">
        <v>2</v>
      </c>
      <c r="F4" s="17">
        <v>1</v>
      </c>
      <c r="G4" s="15">
        <v>1</v>
      </c>
      <c r="H4" s="16">
        <v>3</v>
      </c>
      <c r="I4" s="17">
        <v>1</v>
      </c>
      <c r="J4" s="18">
        <v>1</v>
      </c>
      <c r="K4" s="17">
        <v>3</v>
      </c>
      <c r="L4" s="17">
        <v>1</v>
      </c>
      <c r="M4" s="18">
        <v>1</v>
      </c>
      <c r="N4" s="18">
        <v>3</v>
      </c>
      <c r="O4" s="15">
        <v>2</v>
      </c>
      <c r="P4" s="19">
        <f t="shared" ref="P4:P67" si="0">SUM(C4:O4)</f>
        <v>27</v>
      </c>
    </row>
    <row r="5" spans="1:16" x14ac:dyDescent="0.25">
      <c r="A5" s="15" t="s">
        <v>63</v>
      </c>
      <c r="B5" s="15" t="s">
        <v>115</v>
      </c>
      <c r="C5" s="15">
        <v>3</v>
      </c>
      <c r="D5" s="16">
        <v>3</v>
      </c>
      <c r="E5" s="17">
        <v>2</v>
      </c>
      <c r="F5" s="18">
        <v>3</v>
      </c>
      <c r="G5" s="15">
        <v>2</v>
      </c>
      <c r="H5" s="15">
        <v>3</v>
      </c>
      <c r="I5" s="17">
        <v>2</v>
      </c>
      <c r="J5" s="17">
        <v>3</v>
      </c>
      <c r="K5" s="17">
        <v>3</v>
      </c>
      <c r="L5" s="17">
        <v>3</v>
      </c>
      <c r="M5" s="17">
        <v>4</v>
      </c>
      <c r="N5" s="17">
        <v>2</v>
      </c>
      <c r="O5" s="15">
        <v>2</v>
      </c>
      <c r="P5" s="19">
        <f t="shared" si="0"/>
        <v>35</v>
      </c>
    </row>
    <row r="6" spans="1:16" x14ac:dyDescent="0.25">
      <c r="A6" s="15" t="s">
        <v>63</v>
      </c>
      <c r="B6" s="16" t="s">
        <v>119</v>
      </c>
      <c r="C6" s="15">
        <v>3</v>
      </c>
      <c r="D6" s="15">
        <v>4</v>
      </c>
      <c r="E6" s="18">
        <v>3</v>
      </c>
      <c r="F6" s="17">
        <v>3</v>
      </c>
      <c r="G6" s="16">
        <v>3</v>
      </c>
      <c r="H6" s="15">
        <v>2</v>
      </c>
      <c r="I6" s="18">
        <v>3</v>
      </c>
      <c r="J6" s="17">
        <v>1</v>
      </c>
      <c r="K6" s="17">
        <v>1</v>
      </c>
      <c r="L6" s="17">
        <v>3</v>
      </c>
      <c r="M6" s="17">
        <v>1</v>
      </c>
      <c r="N6" s="18">
        <v>1</v>
      </c>
      <c r="O6" s="15">
        <v>2</v>
      </c>
      <c r="P6" s="19">
        <f t="shared" si="0"/>
        <v>30</v>
      </c>
    </row>
    <row r="7" spans="1:16" x14ac:dyDescent="0.25">
      <c r="A7" s="15" t="s">
        <v>63</v>
      </c>
      <c r="B7" s="16" t="s">
        <v>119</v>
      </c>
      <c r="C7" s="15">
        <v>3</v>
      </c>
      <c r="D7" s="15">
        <v>4</v>
      </c>
      <c r="E7" s="17">
        <v>3</v>
      </c>
      <c r="F7" s="17">
        <v>2</v>
      </c>
      <c r="G7" s="15">
        <v>3</v>
      </c>
      <c r="H7" s="15">
        <v>2</v>
      </c>
      <c r="I7" s="17">
        <v>2</v>
      </c>
      <c r="J7" s="17">
        <v>1</v>
      </c>
      <c r="K7" s="17">
        <v>1</v>
      </c>
      <c r="L7" s="17">
        <v>3</v>
      </c>
      <c r="M7" s="17">
        <v>1</v>
      </c>
      <c r="N7" s="17">
        <v>1</v>
      </c>
      <c r="O7" s="15">
        <v>2</v>
      </c>
      <c r="P7" s="19">
        <f t="shared" si="0"/>
        <v>28</v>
      </c>
    </row>
    <row r="8" spans="1:16" x14ac:dyDescent="0.25">
      <c r="A8" s="15" t="s">
        <v>63</v>
      </c>
      <c r="B8" s="15" t="s">
        <v>115</v>
      </c>
      <c r="C8" s="15">
        <v>4</v>
      </c>
      <c r="D8" s="15">
        <v>2</v>
      </c>
      <c r="E8" s="17">
        <v>3</v>
      </c>
      <c r="F8" s="17">
        <v>2</v>
      </c>
      <c r="G8" s="15">
        <v>3</v>
      </c>
      <c r="H8" s="15">
        <v>2</v>
      </c>
      <c r="I8" s="17">
        <v>2</v>
      </c>
      <c r="J8" s="17">
        <v>1</v>
      </c>
      <c r="K8" s="17">
        <v>1</v>
      </c>
      <c r="L8" s="17">
        <v>3</v>
      </c>
      <c r="M8" s="17">
        <v>1</v>
      </c>
      <c r="N8" s="17">
        <v>2</v>
      </c>
      <c r="O8" s="15">
        <v>2</v>
      </c>
      <c r="P8" s="19">
        <f t="shared" si="0"/>
        <v>28</v>
      </c>
    </row>
    <row r="9" spans="1:16" x14ac:dyDescent="0.25">
      <c r="A9" s="15" t="s">
        <v>63</v>
      </c>
      <c r="B9" s="15" t="s">
        <v>115</v>
      </c>
      <c r="C9" s="15">
        <v>4</v>
      </c>
      <c r="D9" s="15">
        <v>2</v>
      </c>
      <c r="E9" s="17">
        <v>3</v>
      </c>
      <c r="F9" s="17">
        <v>2</v>
      </c>
      <c r="G9" s="15">
        <v>3</v>
      </c>
      <c r="H9" s="15">
        <v>2</v>
      </c>
      <c r="I9" s="17">
        <v>2</v>
      </c>
      <c r="J9" s="17">
        <v>1</v>
      </c>
      <c r="K9" s="17">
        <v>1</v>
      </c>
      <c r="L9" s="17">
        <v>3</v>
      </c>
      <c r="M9" s="17">
        <v>1</v>
      </c>
      <c r="N9" s="17">
        <v>2</v>
      </c>
      <c r="O9" s="15">
        <v>2</v>
      </c>
      <c r="P9" s="19">
        <f t="shared" si="0"/>
        <v>28</v>
      </c>
    </row>
    <row r="10" spans="1:16" x14ac:dyDescent="0.25">
      <c r="A10" s="15" t="s">
        <v>63</v>
      </c>
      <c r="B10" s="15" t="s">
        <v>115</v>
      </c>
      <c r="C10" s="15">
        <v>4</v>
      </c>
      <c r="D10" s="15">
        <v>2</v>
      </c>
      <c r="E10" s="17">
        <v>3</v>
      </c>
      <c r="F10" s="17">
        <v>2</v>
      </c>
      <c r="G10" s="15">
        <v>3</v>
      </c>
      <c r="H10" s="15">
        <v>2</v>
      </c>
      <c r="I10" s="17">
        <v>1</v>
      </c>
      <c r="J10" s="17">
        <v>1</v>
      </c>
      <c r="K10" s="17">
        <v>3</v>
      </c>
      <c r="L10" s="17">
        <v>1</v>
      </c>
      <c r="M10" s="17">
        <v>2</v>
      </c>
      <c r="N10" s="17">
        <v>2</v>
      </c>
      <c r="O10" s="15">
        <v>2</v>
      </c>
      <c r="P10" s="19">
        <f t="shared" si="0"/>
        <v>28</v>
      </c>
    </row>
    <row r="11" spans="1:16" x14ac:dyDescent="0.25">
      <c r="A11" s="15" t="s">
        <v>63</v>
      </c>
      <c r="B11" s="15" t="s">
        <v>115</v>
      </c>
      <c r="C11" s="15">
        <v>2</v>
      </c>
      <c r="D11" s="16">
        <v>1</v>
      </c>
      <c r="E11" s="18">
        <v>1</v>
      </c>
      <c r="F11" s="17">
        <v>1</v>
      </c>
      <c r="G11" s="15">
        <v>2</v>
      </c>
      <c r="H11" s="15">
        <v>2</v>
      </c>
      <c r="I11" s="17">
        <v>2</v>
      </c>
      <c r="J11" s="17">
        <v>3</v>
      </c>
      <c r="K11" s="18">
        <v>3</v>
      </c>
      <c r="L11" s="17">
        <v>1</v>
      </c>
      <c r="M11" s="17">
        <v>1</v>
      </c>
      <c r="N11" s="17">
        <v>1</v>
      </c>
      <c r="O11" s="15">
        <v>2</v>
      </c>
      <c r="P11" s="19">
        <f t="shared" si="0"/>
        <v>22</v>
      </c>
    </row>
    <row r="12" spans="1:16" x14ac:dyDescent="0.25">
      <c r="A12" s="15" t="s">
        <v>63</v>
      </c>
      <c r="B12" s="15" t="s">
        <v>115</v>
      </c>
      <c r="C12" s="15">
        <v>4</v>
      </c>
      <c r="D12" s="15">
        <v>2</v>
      </c>
      <c r="E12" s="17">
        <v>2</v>
      </c>
      <c r="F12" s="17">
        <v>2</v>
      </c>
      <c r="G12" s="15">
        <v>2</v>
      </c>
      <c r="H12" s="15">
        <v>3</v>
      </c>
      <c r="I12" s="17">
        <v>2</v>
      </c>
      <c r="J12" s="18">
        <v>2</v>
      </c>
      <c r="K12" s="17">
        <v>1</v>
      </c>
      <c r="L12" s="17">
        <v>3</v>
      </c>
      <c r="M12" s="17">
        <v>2</v>
      </c>
      <c r="N12" s="17">
        <v>2</v>
      </c>
      <c r="O12" s="15">
        <v>2</v>
      </c>
      <c r="P12" s="19">
        <f t="shared" si="0"/>
        <v>29</v>
      </c>
    </row>
    <row r="13" spans="1:16" x14ac:dyDescent="0.25">
      <c r="A13" s="15" t="s">
        <v>71</v>
      </c>
      <c r="B13" s="16" t="s">
        <v>116</v>
      </c>
      <c r="C13" s="15">
        <v>3</v>
      </c>
      <c r="D13" s="15">
        <v>1</v>
      </c>
      <c r="E13" s="17">
        <v>2</v>
      </c>
      <c r="F13" s="17">
        <v>1</v>
      </c>
      <c r="G13" s="15">
        <v>1</v>
      </c>
      <c r="H13" s="15">
        <v>2</v>
      </c>
      <c r="I13" s="17">
        <v>1</v>
      </c>
      <c r="J13" s="17">
        <v>1</v>
      </c>
      <c r="K13" s="17">
        <v>1</v>
      </c>
      <c r="L13" s="17">
        <v>1</v>
      </c>
      <c r="M13" s="17">
        <v>2</v>
      </c>
      <c r="N13" s="18">
        <v>2</v>
      </c>
      <c r="O13" s="15">
        <v>1</v>
      </c>
      <c r="P13" s="19">
        <f t="shared" si="0"/>
        <v>19</v>
      </c>
    </row>
    <row r="14" spans="1:16" x14ac:dyDescent="0.25">
      <c r="A14" s="15" t="s">
        <v>71</v>
      </c>
      <c r="B14" s="15" t="s">
        <v>116</v>
      </c>
      <c r="C14" s="15">
        <v>3</v>
      </c>
      <c r="D14" s="15">
        <v>1</v>
      </c>
      <c r="E14" s="17">
        <v>2</v>
      </c>
      <c r="F14" s="17">
        <v>1</v>
      </c>
      <c r="G14" s="15">
        <v>1</v>
      </c>
      <c r="H14" s="15">
        <v>2</v>
      </c>
      <c r="I14" s="17">
        <v>2</v>
      </c>
      <c r="J14" s="17">
        <v>1</v>
      </c>
      <c r="K14" s="17">
        <v>3</v>
      </c>
      <c r="L14" s="17">
        <v>1</v>
      </c>
      <c r="M14" s="17">
        <v>2</v>
      </c>
      <c r="N14" s="17">
        <v>2</v>
      </c>
      <c r="O14" s="15">
        <v>2</v>
      </c>
      <c r="P14" s="19">
        <f t="shared" si="0"/>
        <v>23</v>
      </c>
    </row>
    <row r="15" spans="1:16" x14ac:dyDescent="0.25">
      <c r="A15" s="15" t="s">
        <v>80</v>
      </c>
      <c r="B15" s="15" t="s">
        <v>116</v>
      </c>
      <c r="C15" s="15">
        <v>2</v>
      </c>
      <c r="D15" s="15">
        <v>3</v>
      </c>
      <c r="E15" s="17">
        <v>3</v>
      </c>
      <c r="F15" s="17">
        <v>2</v>
      </c>
      <c r="G15" s="15">
        <v>2</v>
      </c>
      <c r="H15" s="15">
        <v>3</v>
      </c>
      <c r="I15" s="17">
        <v>3</v>
      </c>
      <c r="J15" s="17">
        <v>2</v>
      </c>
      <c r="K15" s="17">
        <v>1</v>
      </c>
      <c r="L15" s="17">
        <v>3</v>
      </c>
      <c r="M15" s="17">
        <v>3</v>
      </c>
      <c r="N15" s="17">
        <v>1</v>
      </c>
      <c r="O15" s="16">
        <v>3</v>
      </c>
      <c r="P15" s="19">
        <f t="shared" si="0"/>
        <v>31</v>
      </c>
    </row>
    <row r="16" spans="1:16" x14ac:dyDescent="0.25">
      <c r="A16" s="15" t="s">
        <v>63</v>
      </c>
      <c r="B16" s="15" t="s">
        <v>115</v>
      </c>
      <c r="C16" s="15">
        <v>1</v>
      </c>
      <c r="D16" s="15">
        <v>1</v>
      </c>
      <c r="E16" s="17">
        <v>1</v>
      </c>
      <c r="F16" s="17">
        <v>1</v>
      </c>
      <c r="G16" s="15">
        <v>1</v>
      </c>
      <c r="H16" s="15">
        <v>2</v>
      </c>
      <c r="I16" s="17">
        <v>4</v>
      </c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5">
        <v>2</v>
      </c>
      <c r="P16" s="19">
        <f t="shared" si="0"/>
        <v>18</v>
      </c>
    </row>
    <row r="17" spans="1:16" x14ac:dyDescent="0.25">
      <c r="A17" s="15" t="s">
        <v>63</v>
      </c>
      <c r="B17" s="15" t="s">
        <v>115</v>
      </c>
      <c r="C17" s="15">
        <v>1</v>
      </c>
      <c r="D17" s="15">
        <v>1</v>
      </c>
      <c r="E17" s="18">
        <v>4</v>
      </c>
      <c r="F17" s="17">
        <v>1</v>
      </c>
      <c r="G17" s="15">
        <v>1</v>
      </c>
      <c r="H17" s="15">
        <v>2</v>
      </c>
      <c r="I17" s="17">
        <v>1</v>
      </c>
      <c r="J17" s="18">
        <v>4</v>
      </c>
      <c r="K17" s="17">
        <v>3</v>
      </c>
      <c r="L17" s="17">
        <v>3</v>
      </c>
      <c r="M17" s="17">
        <v>1</v>
      </c>
      <c r="N17" s="17">
        <v>1</v>
      </c>
      <c r="O17" s="15">
        <v>2</v>
      </c>
      <c r="P17" s="19">
        <f t="shared" si="0"/>
        <v>25</v>
      </c>
    </row>
    <row r="18" spans="1:16" x14ac:dyDescent="0.25">
      <c r="A18" s="15" t="s">
        <v>63</v>
      </c>
      <c r="B18" s="15" t="s">
        <v>115</v>
      </c>
      <c r="C18" s="15">
        <v>1</v>
      </c>
      <c r="D18" s="15">
        <v>1</v>
      </c>
      <c r="E18" s="17">
        <v>4</v>
      </c>
      <c r="F18" s="17">
        <v>1</v>
      </c>
      <c r="G18" s="15">
        <v>1</v>
      </c>
      <c r="H18" s="15">
        <v>1</v>
      </c>
      <c r="I18" s="17">
        <v>1</v>
      </c>
      <c r="J18" s="17">
        <v>1</v>
      </c>
      <c r="K18" s="17">
        <v>1</v>
      </c>
      <c r="L18" s="17">
        <v>3</v>
      </c>
      <c r="M18" s="17">
        <v>1</v>
      </c>
      <c r="N18" s="17">
        <v>1</v>
      </c>
      <c r="O18" s="15">
        <v>2</v>
      </c>
      <c r="P18" s="19">
        <f t="shared" si="0"/>
        <v>19</v>
      </c>
    </row>
    <row r="19" spans="1:16" x14ac:dyDescent="0.25">
      <c r="A19" s="15" t="s">
        <v>71</v>
      </c>
      <c r="B19" s="15" t="s">
        <v>116</v>
      </c>
      <c r="C19" s="16">
        <v>2</v>
      </c>
      <c r="D19" s="15">
        <v>4</v>
      </c>
      <c r="E19" s="17">
        <v>2</v>
      </c>
      <c r="F19" s="17">
        <v>3</v>
      </c>
      <c r="G19" s="15">
        <v>1</v>
      </c>
      <c r="H19" s="15">
        <v>3</v>
      </c>
      <c r="I19" s="17">
        <v>3</v>
      </c>
      <c r="J19" s="17">
        <v>3</v>
      </c>
      <c r="K19" s="17">
        <v>3</v>
      </c>
      <c r="L19" s="17">
        <v>3</v>
      </c>
      <c r="M19" s="17">
        <v>3</v>
      </c>
      <c r="N19" s="17">
        <v>2</v>
      </c>
      <c r="O19" s="15">
        <v>2</v>
      </c>
      <c r="P19" s="19">
        <f t="shared" si="0"/>
        <v>34</v>
      </c>
    </row>
    <row r="20" spans="1:16" x14ac:dyDescent="0.25">
      <c r="A20" s="15" t="s">
        <v>71</v>
      </c>
      <c r="B20" s="15" t="s">
        <v>116</v>
      </c>
      <c r="C20" s="15">
        <v>3</v>
      </c>
      <c r="D20" s="15">
        <v>4</v>
      </c>
      <c r="E20" s="17">
        <v>3</v>
      </c>
      <c r="F20" s="17">
        <v>3</v>
      </c>
      <c r="G20" s="15">
        <v>2</v>
      </c>
      <c r="H20" s="15">
        <v>3</v>
      </c>
      <c r="I20" s="17">
        <v>3</v>
      </c>
      <c r="J20" s="17">
        <v>2</v>
      </c>
      <c r="K20" s="17">
        <v>3</v>
      </c>
      <c r="L20" s="17">
        <v>3</v>
      </c>
      <c r="M20" s="17">
        <v>2</v>
      </c>
      <c r="N20" s="17">
        <v>2</v>
      </c>
      <c r="O20" s="15">
        <v>2</v>
      </c>
      <c r="P20" s="19">
        <f t="shared" si="0"/>
        <v>35</v>
      </c>
    </row>
    <row r="21" spans="1:16" x14ac:dyDescent="0.25">
      <c r="A21" s="15" t="s">
        <v>63</v>
      </c>
      <c r="B21" s="15" t="s">
        <v>115</v>
      </c>
      <c r="C21" s="15">
        <v>2</v>
      </c>
      <c r="D21" s="15">
        <v>1</v>
      </c>
      <c r="E21" s="17">
        <v>1</v>
      </c>
      <c r="F21" s="17">
        <v>2</v>
      </c>
      <c r="G21" s="15">
        <v>1</v>
      </c>
      <c r="H21" s="15">
        <v>2</v>
      </c>
      <c r="I21" s="17">
        <v>1</v>
      </c>
      <c r="J21" s="17">
        <v>1</v>
      </c>
      <c r="K21" s="17">
        <v>3</v>
      </c>
      <c r="L21" s="17">
        <v>3</v>
      </c>
      <c r="M21" s="17">
        <v>2</v>
      </c>
      <c r="N21" s="17">
        <v>2</v>
      </c>
      <c r="O21" s="15">
        <v>2</v>
      </c>
      <c r="P21" s="19">
        <f t="shared" si="0"/>
        <v>23</v>
      </c>
    </row>
    <row r="22" spans="1:16" x14ac:dyDescent="0.25">
      <c r="A22" s="15" t="s">
        <v>63</v>
      </c>
      <c r="B22" s="15" t="s">
        <v>115</v>
      </c>
      <c r="C22" s="15">
        <v>2</v>
      </c>
      <c r="D22" s="15">
        <v>4</v>
      </c>
      <c r="E22" s="17">
        <v>3</v>
      </c>
      <c r="F22" s="17">
        <v>1</v>
      </c>
      <c r="G22" s="15">
        <v>3</v>
      </c>
      <c r="H22" s="15">
        <v>3</v>
      </c>
      <c r="I22" s="17">
        <v>3</v>
      </c>
      <c r="J22" s="17">
        <v>3</v>
      </c>
      <c r="K22" s="17">
        <v>1</v>
      </c>
      <c r="L22" s="17">
        <v>3</v>
      </c>
      <c r="M22" s="17">
        <v>4</v>
      </c>
      <c r="N22" s="17">
        <v>2</v>
      </c>
      <c r="O22" s="15">
        <v>2</v>
      </c>
      <c r="P22" s="19">
        <f t="shared" si="0"/>
        <v>34</v>
      </c>
    </row>
    <row r="23" spans="1:16" x14ac:dyDescent="0.25">
      <c r="A23" s="15" t="s">
        <v>63</v>
      </c>
      <c r="B23" s="15" t="s">
        <v>115</v>
      </c>
      <c r="C23" s="15">
        <v>2</v>
      </c>
      <c r="D23" s="15">
        <v>3</v>
      </c>
      <c r="E23" s="17">
        <v>1</v>
      </c>
      <c r="F23" s="17">
        <v>1</v>
      </c>
      <c r="G23" s="15">
        <v>2</v>
      </c>
      <c r="H23" s="15">
        <v>4</v>
      </c>
      <c r="I23" s="17">
        <v>3</v>
      </c>
      <c r="J23" s="17">
        <v>2</v>
      </c>
      <c r="K23" s="17">
        <v>3</v>
      </c>
      <c r="L23" s="17">
        <v>3</v>
      </c>
      <c r="M23" s="17">
        <v>1</v>
      </c>
      <c r="N23" s="17">
        <v>2</v>
      </c>
      <c r="O23" s="15">
        <v>2</v>
      </c>
      <c r="P23" s="19">
        <f t="shared" si="0"/>
        <v>29</v>
      </c>
    </row>
    <row r="24" spans="1:16" x14ac:dyDescent="0.25">
      <c r="A24" s="15" t="s">
        <v>63</v>
      </c>
      <c r="B24" s="15" t="s">
        <v>115</v>
      </c>
      <c r="C24" s="15">
        <v>2</v>
      </c>
      <c r="D24" s="15">
        <v>4</v>
      </c>
      <c r="E24" s="17">
        <v>3</v>
      </c>
      <c r="F24" s="17">
        <v>2</v>
      </c>
      <c r="G24" s="15">
        <v>2</v>
      </c>
      <c r="H24" s="15">
        <v>2</v>
      </c>
      <c r="I24" s="17">
        <v>2</v>
      </c>
      <c r="J24" s="17">
        <v>3</v>
      </c>
      <c r="K24" s="17">
        <v>3</v>
      </c>
      <c r="L24" s="17">
        <v>3</v>
      </c>
      <c r="M24" s="17">
        <v>3</v>
      </c>
      <c r="N24" s="17">
        <v>1</v>
      </c>
      <c r="O24" s="15">
        <v>2</v>
      </c>
      <c r="P24" s="19">
        <f t="shared" si="0"/>
        <v>32</v>
      </c>
    </row>
    <row r="25" spans="1:16" x14ac:dyDescent="0.25">
      <c r="A25" s="15" t="s">
        <v>63</v>
      </c>
      <c r="B25" s="15" t="s">
        <v>115</v>
      </c>
      <c r="C25" s="15">
        <v>3</v>
      </c>
      <c r="D25" s="15">
        <v>2</v>
      </c>
      <c r="E25" s="17">
        <v>2</v>
      </c>
      <c r="F25" s="17">
        <v>2</v>
      </c>
      <c r="G25" s="15">
        <v>2</v>
      </c>
      <c r="H25" s="15">
        <v>4</v>
      </c>
      <c r="I25" s="17">
        <v>2</v>
      </c>
      <c r="J25" s="17">
        <v>3</v>
      </c>
      <c r="K25" s="17">
        <v>1</v>
      </c>
      <c r="L25" s="17">
        <v>3</v>
      </c>
      <c r="M25" s="17">
        <v>2</v>
      </c>
      <c r="N25" s="17">
        <v>2</v>
      </c>
      <c r="O25" s="15">
        <v>2</v>
      </c>
      <c r="P25" s="19">
        <f t="shared" si="0"/>
        <v>30</v>
      </c>
    </row>
    <row r="26" spans="1:16" x14ac:dyDescent="0.25">
      <c r="A26" s="15" t="s">
        <v>63</v>
      </c>
      <c r="B26" s="15" t="s">
        <v>115</v>
      </c>
      <c r="C26" s="15">
        <v>1</v>
      </c>
      <c r="D26" s="15">
        <v>1</v>
      </c>
      <c r="E26" s="17">
        <v>1</v>
      </c>
      <c r="F26" s="17">
        <v>2</v>
      </c>
      <c r="G26" s="15">
        <v>1</v>
      </c>
      <c r="H26" s="15">
        <v>4</v>
      </c>
      <c r="I26" s="17">
        <v>3</v>
      </c>
      <c r="J26" s="17">
        <v>3</v>
      </c>
      <c r="K26" s="17">
        <v>1</v>
      </c>
      <c r="L26" s="17">
        <v>3</v>
      </c>
      <c r="M26" s="17">
        <v>2</v>
      </c>
      <c r="N26" s="17">
        <v>2</v>
      </c>
      <c r="O26" s="15">
        <v>2</v>
      </c>
      <c r="P26" s="19">
        <f t="shared" si="0"/>
        <v>26</v>
      </c>
    </row>
    <row r="27" spans="1:16" x14ac:dyDescent="0.25">
      <c r="A27" s="15" t="s">
        <v>71</v>
      </c>
      <c r="B27" s="15" t="s">
        <v>116</v>
      </c>
      <c r="C27" s="15">
        <v>2</v>
      </c>
      <c r="D27" s="15">
        <v>2</v>
      </c>
      <c r="E27" s="17">
        <v>2</v>
      </c>
      <c r="F27" s="17">
        <v>2</v>
      </c>
      <c r="G27" s="15">
        <v>1</v>
      </c>
      <c r="H27" s="15">
        <v>3</v>
      </c>
      <c r="I27" s="17">
        <v>3</v>
      </c>
      <c r="J27" s="17">
        <v>3</v>
      </c>
      <c r="K27" s="17">
        <v>1</v>
      </c>
      <c r="L27" s="17">
        <v>1</v>
      </c>
      <c r="M27" s="17">
        <v>3</v>
      </c>
      <c r="N27" s="17">
        <v>2</v>
      </c>
      <c r="O27" s="15">
        <v>1</v>
      </c>
      <c r="P27" s="19">
        <f t="shared" si="0"/>
        <v>26</v>
      </c>
    </row>
    <row r="28" spans="1:16" x14ac:dyDescent="0.25">
      <c r="A28" s="15" t="s">
        <v>81</v>
      </c>
      <c r="B28" s="15" t="s">
        <v>116</v>
      </c>
      <c r="C28" s="15">
        <v>3</v>
      </c>
      <c r="D28" s="15">
        <v>3</v>
      </c>
      <c r="E28" s="17">
        <v>3</v>
      </c>
      <c r="F28" s="17">
        <v>1</v>
      </c>
      <c r="G28" s="15">
        <v>3</v>
      </c>
      <c r="H28" s="15">
        <v>1</v>
      </c>
      <c r="I28" s="17">
        <v>2</v>
      </c>
      <c r="J28" s="17">
        <v>3</v>
      </c>
      <c r="K28" s="17">
        <v>3</v>
      </c>
      <c r="L28" s="17">
        <v>1</v>
      </c>
      <c r="M28" s="17">
        <v>2</v>
      </c>
      <c r="N28" s="17">
        <v>2</v>
      </c>
      <c r="O28" s="15">
        <v>3</v>
      </c>
      <c r="P28" s="19">
        <f t="shared" si="0"/>
        <v>30</v>
      </c>
    </row>
    <row r="29" spans="1:16" x14ac:dyDescent="0.25">
      <c r="A29" s="15" t="s">
        <v>80</v>
      </c>
      <c r="B29" s="16" t="s">
        <v>118</v>
      </c>
      <c r="C29" s="15">
        <v>4</v>
      </c>
      <c r="D29" s="15">
        <v>4</v>
      </c>
      <c r="E29" s="17">
        <v>4</v>
      </c>
      <c r="F29" s="17">
        <v>2</v>
      </c>
      <c r="G29" s="15">
        <v>3</v>
      </c>
      <c r="H29" s="15">
        <v>3</v>
      </c>
      <c r="I29" s="17">
        <v>2</v>
      </c>
      <c r="J29" s="17">
        <v>4</v>
      </c>
      <c r="K29" s="17">
        <v>3</v>
      </c>
      <c r="L29" s="17">
        <v>3</v>
      </c>
      <c r="M29" s="17">
        <v>2</v>
      </c>
      <c r="N29" s="17">
        <v>3</v>
      </c>
      <c r="O29" s="16">
        <v>4</v>
      </c>
      <c r="P29" s="19">
        <f t="shared" si="0"/>
        <v>41</v>
      </c>
    </row>
    <row r="30" spans="1:16" x14ac:dyDescent="0.25">
      <c r="A30" s="15" t="s">
        <v>71</v>
      </c>
      <c r="B30" s="15" t="s">
        <v>116</v>
      </c>
      <c r="C30" s="15">
        <v>2</v>
      </c>
      <c r="D30" s="15">
        <v>3</v>
      </c>
      <c r="E30" s="17">
        <v>1</v>
      </c>
      <c r="F30" s="17">
        <v>2</v>
      </c>
      <c r="G30" s="15">
        <v>1</v>
      </c>
      <c r="H30" s="15">
        <v>4</v>
      </c>
      <c r="I30" s="17">
        <v>2</v>
      </c>
      <c r="J30" s="17">
        <v>3</v>
      </c>
      <c r="K30" s="17">
        <v>3</v>
      </c>
      <c r="L30" s="17">
        <v>1</v>
      </c>
      <c r="M30" s="17">
        <v>3</v>
      </c>
      <c r="N30" s="17">
        <v>2</v>
      </c>
      <c r="O30" s="15">
        <v>2</v>
      </c>
      <c r="P30" s="19">
        <f t="shared" si="0"/>
        <v>29</v>
      </c>
    </row>
    <row r="31" spans="1:16" x14ac:dyDescent="0.25">
      <c r="A31" s="15" t="s">
        <v>63</v>
      </c>
      <c r="B31" s="15" t="s">
        <v>115</v>
      </c>
      <c r="C31" s="15">
        <v>4</v>
      </c>
      <c r="D31" s="15">
        <v>3</v>
      </c>
      <c r="E31" s="17">
        <v>3</v>
      </c>
      <c r="F31" s="17">
        <v>2</v>
      </c>
      <c r="G31" s="15">
        <v>1</v>
      </c>
      <c r="H31" s="15">
        <v>1</v>
      </c>
      <c r="I31" s="17">
        <v>3</v>
      </c>
      <c r="J31" s="17">
        <v>3</v>
      </c>
      <c r="K31" s="17">
        <v>1</v>
      </c>
      <c r="L31" s="17">
        <v>3</v>
      </c>
      <c r="M31" s="17">
        <v>3</v>
      </c>
      <c r="N31" s="17">
        <v>2</v>
      </c>
      <c r="O31" s="15">
        <v>3</v>
      </c>
      <c r="P31" s="19">
        <f t="shared" si="0"/>
        <v>32</v>
      </c>
    </row>
    <row r="32" spans="1:16" x14ac:dyDescent="0.25">
      <c r="A32" s="15" t="s">
        <v>63</v>
      </c>
      <c r="B32" s="15" t="s">
        <v>115</v>
      </c>
      <c r="C32" s="15">
        <v>4</v>
      </c>
      <c r="D32" s="15">
        <v>1</v>
      </c>
      <c r="E32" s="17">
        <v>3</v>
      </c>
      <c r="F32" s="17">
        <v>1</v>
      </c>
      <c r="G32" s="15">
        <v>1</v>
      </c>
      <c r="H32" s="15">
        <v>3</v>
      </c>
      <c r="I32" s="17">
        <v>2</v>
      </c>
      <c r="J32" s="17">
        <v>2</v>
      </c>
      <c r="K32" s="17">
        <v>3</v>
      </c>
      <c r="L32" s="18">
        <v>1</v>
      </c>
      <c r="M32" s="17">
        <v>1</v>
      </c>
      <c r="N32" s="17">
        <v>1</v>
      </c>
      <c r="O32" s="15">
        <v>2</v>
      </c>
      <c r="P32" s="19">
        <f t="shared" si="0"/>
        <v>25</v>
      </c>
    </row>
    <row r="33" spans="1:16" ht="15.5" customHeight="1" x14ac:dyDescent="0.25">
      <c r="A33" s="15" t="s">
        <v>63</v>
      </c>
      <c r="B33" s="15" t="s">
        <v>115</v>
      </c>
      <c r="C33" s="15">
        <v>3</v>
      </c>
      <c r="D33" s="15">
        <v>4</v>
      </c>
      <c r="E33" s="17">
        <v>3</v>
      </c>
      <c r="F33" s="17">
        <v>1</v>
      </c>
      <c r="G33" s="15">
        <v>2</v>
      </c>
      <c r="H33" s="15">
        <v>3</v>
      </c>
      <c r="I33" s="17">
        <v>3</v>
      </c>
      <c r="J33" s="17">
        <v>2</v>
      </c>
      <c r="K33" s="17">
        <v>2</v>
      </c>
      <c r="L33" s="17">
        <v>2</v>
      </c>
      <c r="M33" s="17">
        <v>3</v>
      </c>
      <c r="N33" s="17">
        <v>1</v>
      </c>
      <c r="O33" s="15">
        <v>3</v>
      </c>
      <c r="P33" s="19">
        <f t="shared" si="0"/>
        <v>32</v>
      </c>
    </row>
    <row r="34" spans="1:16" ht="16.5" customHeight="1" x14ac:dyDescent="0.25">
      <c r="A34" s="17" t="s">
        <v>63</v>
      </c>
      <c r="B34" s="17" t="s">
        <v>115</v>
      </c>
      <c r="C34" s="17">
        <v>3</v>
      </c>
      <c r="D34" s="17">
        <v>2</v>
      </c>
      <c r="E34" s="18">
        <v>2</v>
      </c>
      <c r="F34" s="18">
        <v>2</v>
      </c>
      <c r="G34" s="18">
        <v>2</v>
      </c>
      <c r="H34" s="18">
        <v>2</v>
      </c>
      <c r="I34" s="18">
        <v>2</v>
      </c>
      <c r="J34" s="18">
        <v>2</v>
      </c>
      <c r="K34" s="18">
        <v>3</v>
      </c>
      <c r="L34" s="18">
        <v>3</v>
      </c>
      <c r="M34" s="18">
        <v>2</v>
      </c>
      <c r="N34" s="18">
        <v>2</v>
      </c>
      <c r="O34" s="18">
        <v>2</v>
      </c>
      <c r="P34" s="19">
        <f t="shared" si="0"/>
        <v>29</v>
      </c>
    </row>
    <row r="35" spans="1:16" x14ac:dyDescent="0.25">
      <c r="A35" s="15" t="s">
        <v>63</v>
      </c>
      <c r="B35" s="15" t="s">
        <v>115</v>
      </c>
      <c r="C35" s="15">
        <v>3</v>
      </c>
      <c r="D35" s="15">
        <v>1</v>
      </c>
      <c r="E35" s="17">
        <v>2</v>
      </c>
      <c r="F35" s="17">
        <v>2</v>
      </c>
      <c r="G35" s="15">
        <v>2</v>
      </c>
      <c r="H35" s="15">
        <v>2</v>
      </c>
      <c r="I35" s="17">
        <v>2</v>
      </c>
      <c r="J35" s="17">
        <v>2</v>
      </c>
      <c r="K35" s="18">
        <v>1</v>
      </c>
      <c r="L35" s="17">
        <v>3</v>
      </c>
      <c r="M35" s="17">
        <v>2</v>
      </c>
      <c r="N35" s="17">
        <v>2</v>
      </c>
      <c r="O35" s="15">
        <v>2</v>
      </c>
      <c r="P35" s="19">
        <f t="shared" si="0"/>
        <v>26</v>
      </c>
    </row>
    <row r="36" spans="1:16" x14ac:dyDescent="0.25">
      <c r="A36" s="15" t="s">
        <v>63</v>
      </c>
      <c r="B36" s="15" t="s">
        <v>115</v>
      </c>
      <c r="C36" s="15">
        <v>3</v>
      </c>
      <c r="D36" s="16">
        <v>1</v>
      </c>
      <c r="E36" s="17">
        <v>2</v>
      </c>
      <c r="F36" s="17">
        <v>2</v>
      </c>
      <c r="G36" s="15">
        <v>2</v>
      </c>
      <c r="H36" s="15">
        <v>2</v>
      </c>
      <c r="I36" s="17">
        <v>2</v>
      </c>
      <c r="J36" s="17">
        <v>2</v>
      </c>
      <c r="K36" s="17">
        <v>3</v>
      </c>
      <c r="L36" s="17">
        <v>3</v>
      </c>
      <c r="M36" s="17">
        <v>2</v>
      </c>
      <c r="N36" s="17">
        <v>2</v>
      </c>
      <c r="O36" s="15">
        <v>2</v>
      </c>
      <c r="P36" s="19">
        <f t="shared" si="0"/>
        <v>28</v>
      </c>
    </row>
    <row r="37" spans="1:16" x14ac:dyDescent="0.25">
      <c r="A37" s="15" t="s">
        <v>63</v>
      </c>
      <c r="B37" s="15" t="s">
        <v>115</v>
      </c>
      <c r="C37" s="15">
        <v>3</v>
      </c>
      <c r="D37" s="15">
        <v>1</v>
      </c>
      <c r="E37" s="17">
        <v>2</v>
      </c>
      <c r="F37" s="17">
        <v>3</v>
      </c>
      <c r="G37" s="16">
        <v>1</v>
      </c>
      <c r="H37" s="15">
        <v>2</v>
      </c>
      <c r="I37" s="18">
        <v>1</v>
      </c>
      <c r="J37" s="18">
        <v>3</v>
      </c>
      <c r="K37" s="17">
        <v>3</v>
      </c>
      <c r="L37" s="17">
        <v>3</v>
      </c>
      <c r="M37" s="18">
        <v>4</v>
      </c>
      <c r="N37" s="17">
        <v>2</v>
      </c>
      <c r="O37" s="15">
        <v>2</v>
      </c>
      <c r="P37" s="19">
        <f t="shared" si="0"/>
        <v>30</v>
      </c>
    </row>
    <row r="38" spans="1:16" x14ac:dyDescent="0.25">
      <c r="A38" s="15" t="s">
        <v>63</v>
      </c>
      <c r="B38" s="15" t="s">
        <v>115</v>
      </c>
      <c r="C38" s="15">
        <v>4</v>
      </c>
      <c r="D38" s="15">
        <v>1</v>
      </c>
      <c r="E38" s="17">
        <v>3</v>
      </c>
      <c r="F38" s="17">
        <v>1</v>
      </c>
      <c r="G38" s="15">
        <v>3</v>
      </c>
      <c r="H38" s="15">
        <v>3</v>
      </c>
      <c r="I38" s="17">
        <v>3</v>
      </c>
      <c r="J38" s="17">
        <v>3</v>
      </c>
      <c r="K38" s="17">
        <v>1</v>
      </c>
      <c r="L38" s="17">
        <v>1</v>
      </c>
      <c r="M38" s="17">
        <v>3</v>
      </c>
      <c r="N38" s="17">
        <v>2</v>
      </c>
      <c r="O38" s="15">
        <v>2</v>
      </c>
      <c r="P38" s="19">
        <f t="shared" si="0"/>
        <v>30</v>
      </c>
    </row>
    <row r="39" spans="1:16" x14ac:dyDescent="0.25">
      <c r="A39" s="15" t="s">
        <v>63</v>
      </c>
      <c r="B39" s="15" t="s">
        <v>115</v>
      </c>
      <c r="C39" s="15">
        <v>1</v>
      </c>
      <c r="D39" s="15">
        <v>2</v>
      </c>
      <c r="E39" s="17">
        <v>2</v>
      </c>
      <c r="F39" s="18">
        <v>1</v>
      </c>
      <c r="G39" s="15">
        <v>2</v>
      </c>
      <c r="H39" s="15">
        <v>2</v>
      </c>
      <c r="I39" s="17">
        <v>2</v>
      </c>
      <c r="J39" s="17">
        <v>2</v>
      </c>
      <c r="K39" s="17">
        <v>3</v>
      </c>
      <c r="L39" s="17">
        <v>3</v>
      </c>
      <c r="M39" s="17">
        <v>3</v>
      </c>
      <c r="N39" s="17">
        <v>2</v>
      </c>
      <c r="O39" s="15">
        <v>2</v>
      </c>
      <c r="P39" s="19">
        <f t="shared" si="0"/>
        <v>27</v>
      </c>
    </row>
    <row r="40" spans="1:16" x14ac:dyDescent="0.25">
      <c r="A40" s="15" t="s">
        <v>63</v>
      </c>
      <c r="B40" s="15" t="s">
        <v>115</v>
      </c>
      <c r="C40" s="15">
        <v>3</v>
      </c>
      <c r="D40" s="15">
        <v>1</v>
      </c>
      <c r="E40" s="17">
        <v>2</v>
      </c>
      <c r="F40" s="17">
        <v>3</v>
      </c>
      <c r="G40" s="15">
        <v>2</v>
      </c>
      <c r="H40" s="15">
        <v>2</v>
      </c>
      <c r="I40" s="17">
        <v>2</v>
      </c>
      <c r="J40" s="17">
        <v>2</v>
      </c>
      <c r="K40" s="17">
        <v>1</v>
      </c>
      <c r="L40" s="17">
        <v>1</v>
      </c>
      <c r="M40" s="17">
        <v>2</v>
      </c>
      <c r="N40" s="17">
        <v>2</v>
      </c>
      <c r="O40" s="15">
        <v>2</v>
      </c>
      <c r="P40" s="19">
        <f t="shared" si="0"/>
        <v>25</v>
      </c>
    </row>
    <row r="41" spans="1:16" x14ac:dyDescent="0.25">
      <c r="A41" s="15" t="s">
        <v>63</v>
      </c>
      <c r="B41" s="15" t="s">
        <v>115</v>
      </c>
      <c r="C41" s="15">
        <v>3</v>
      </c>
      <c r="D41" s="15">
        <v>2</v>
      </c>
      <c r="E41" s="17">
        <v>2</v>
      </c>
      <c r="F41" s="17">
        <v>2</v>
      </c>
      <c r="G41" s="15">
        <v>2</v>
      </c>
      <c r="H41" s="15">
        <v>2</v>
      </c>
      <c r="I41" s="17">
        <v>2</v>
      </c>
      <c r="J41" s="17">
        <v>2</v>
      </c>
      <c r="K41" s="17">
        <v>1</v>
      </c>
      <c r="L41" s="17">
        <v>1</v>
      </c>
      <c r="M41" s="17">
        <v>2</v>
      </c>
      <c r="N41" s="17">
        <v>2</v>
      </c>
      <c r="O41" s="15">
        <v>2</v>
      </c>
      <c r="P41" s="19">
        <f t="shared" si="0"/>
        <v>25</v>
      </c>
    </row>
    <row r="42" spans="1:16" x14ac:dyDescent="0.25">
      <c r="A42" s="15" t="s">
        <v>63</v>
      </c>
      <c r="B42" s="15" t="s">
        <v>115</v>
      </c>
      <c r="C42" s="15">
        <v>3</v>
      </c>
      <c r="D42" s="15">
        <v>3</v>
      </c>
      <c r="E42" s="17">
        <v>3</v>
      </c>
      <c r="F42" s="17">
        <v>3</v>
      </c>
      <c r="G42" s="15">
        <v>3</v>
      </c>
      <c r="H42" s="16">
        <v>4</v>
      </c>
      <c r="I42" s="18">
        <v>4</v>
      </c>
      <c r="J42" s="17">
        <v>3</v>
      </c>
      <c r="K42" s="17">
        <v>3</v>
      </c>
      <c r="L42" s="17">
        <v>3</v>
      </c>
      <c r="M42" s="17">
        <v>3</v>
      </c>
      <c r="N42" s="17">
        <v>2</v>
      </c>
      <c r="O42" s="15">
        <v>2</v>
      </c>
      <c r="P42" s="19">
        <f t="shared" si="0"/>
        <v>39</v>
      </c>
    </row>
    <row r="43" spans="1:16" x14ac:dyDescent="0.25">
      <c r="A43" s="15" t="s">
        <v>71</v>
      </c>
      <c r="B43" s="15" t="s">
        <v>117</v>
      </c>
      <c r="C43" s="15">
        <v>3</v>
      </c>
      <c r="D43" s="15">
        <v>1</v>
      </c>
      <c r="E43" s="17">
        <v>1</v>
      </c>
      <c r="F43" s="17">
        <v>3</v>
      </c>
      <c r="G43" s="15">
        <v>2</v>
      </c>
      <c r="H43" s="16">
        <v>1</v>
      </c>
      <c r="I43" s="17">
        <v>1</v>
      </c>
      <c r="J43" s="17">
        <v>1</v>
      </c>
      <c r="K43" s="17">
        <v>1</v>
      </c>
      <c r="L43" s="17">
        <v>3</v>
      </c>
      <c r="M43" s="17">
        <v>1</v>
      </c>
      <c r="N43" s="17">
        <v>1</v>
      </c>
      <c r="O43" s="16">
        <v>1</v>
      </c>
      <c r="P43" s="19">
        <f t="shared" si="0"/>
        <v>20</v>
      </c>
    </row>
    <row r="44" spans="1:16" x14ac:dyDescent="0.25">
      <c r="A44" s="15" t="s">
        <v>63</v>
      </c>
      <c r="B44" s="15" t="s">
        <v>115</v>
      </c>
      <c r="C44" s="15">
        <v>3</v>
      </c>
      <c r="D44" s="15">
        <v>4</v>
      </c>
      <c r="E44" s="17">
        <v>3</v>
      </c>
      <c r="F44" s="17">
        <v>2</v>
      </c>
      <c r="G44" s="15">
        <v>2</v>
      </c>
      <c r="H44" s="15">
        <v>4</v>
      </c>
      <c r="I44" s="17">
        <v>1</v>
      </c>
      <c r="J44" s="17">
        <v>1</v>
      </c>
      <c r="K44" s="17">
        <v>1</v>
      </c>
      <c r="L44" s="17">
        <v>3</v>
      </c>
      <c r="M44" s="17">
        <v>3</v>
      </c>
      <c r="N44" s="17">
        <v>2</v>
      </c>
      <c r="O44" s="15">
        <v>1</v>
      </c>
      <c r="P44" s="19">
        <f t="shared" si="0"/>
        <v>30</v>
      </c>
    </row>
    <row r="45" spans="1:16" x14ac:dyDescent="0.25">
      <c r="A45" s="15" t="s">
        <v>63</v>
      </c>
      <c r="B45" s="15" t="s">
        <v>115</v>
      </c>
      <c r="C45" s="15">
        <v>3</v>
      </c>
      <c r="D45" s="15">
        <v>3</v>
      </c>
      <c r="E45" s="17">
        <v>2</v>
      </c>
      <c r="F45" s="17">
        <v>2</v>
      </c>
      <c r="G45" s="15">
        <v>2</v>
      </c>
      <c r="H45" s="15">
        <v>2</v>
      </c>
      <c r="I45" s="17">
        <v>2</v>
      </c>
      <c r="J45" s="18">
        <v>3</v>
      </c>
      <c r="K45" s="17">
        <v>3</v>
      </c>
      <c r="L45" s="17">
        <v>3</v>
      </c>
      <c r="M45" s="17">
        <v>2</v>
      </c>
      <c r="N45" s="17">
        <v>2</v>
      </c>
      <c r="O45" s="15">
        <v>2</v>
      </c>
      <c r="P45" s="19">
        <f t="shared" si="0"/>
        <v>31</v>
      </c>
    </row>
    <row r="46" spans="1:16" x14ac:dyDescent="0.25">
      <c r="A46" s="15" t="s">
        <v>71</v>
      </c>
      <c r="B46" s="15" t="s">
        <v>116</v>
      </c>
      <c r="C46" s="15">
        <v>3</v>
      </c>
      <c r="D46" s="15">
        <v>3</v>
      </c>
      <c r="E46" s="17">
        <v>3</v>
      </c>
      <c r="F46" s="17">
        <v>2</v>
      </c>
      <c r="G46" s="15">
        <v>1</v>
      </c>
      <c r="H46" s="15">
        <v>3</v>
      </c>
      <c r="I46" s="17">
        <v>2</v>
      </c>
      <c r="J46" s="17">
        <v>2</v>
      </c>
      <c r="K46" s="17">
        <v>1</v>
      </c>
      <c r="L46" s="17">
        <v>3</v>
      </c>
      <c r="M46" s="17">
        <v>2</v>
      </c>
      <c r="N46" s="17">
        <v>2</v>
      </c>
      <c r="O46" s="15">
        <v>3</v>
      </c>
      <c r="P46" s="19">
        <f t="shared" si="0"/>
        <v>30</v>
      </c>
    </row>
    <row r="47" spans="1:16" x14ac:dyDescent="0.25">
      <c r="A47" s="15" t="s">
        <v>63</v>
      </c>
      <c r="B47" s="15" t="s">
        <v>115</v>
      </c>
      <c r="C47" s="15">
        <v>3</v>
      </c>
      <c r="D47" s="15">
        <v>3</v>
      </c>
      <c r="E47" s="17">
        <v>3</v>
      </c>
      <c r="F47" s="17">
        <v>2</v>
      </c>
      <c r="G47" s="15">
        <v>2</v>
      </c>
      <c r="H47" s="15">
        <v>2</v>
      </c>
      <c r="I47" s="17">
        <v>2</v>
      </c>
      <c r="J47" s="17">
        <v>3</v>
      </c>
      <c r="K47" s="17">
        <v>3</v>
      </c>
      <c r="L47" s="17">
        <v>3</v>
      </c>
      <c r="M47" s="17">
        <v>2</v>
      </c>
      <c r="N47" s="17">
        <v>2</v>
      </c>
      <c r="O47" s="15">
        <v>2</v>
      </c>
      <c r="P47" s="19">
        <f t="shared" si="0"/>
        <v>32</v>
      </c>
    </row>
    <row r="48" spans="1:16" x14ac:dyDescent="0.25">
      <c r="A48" s="15" t="s">
        <v>63</v>
      </c>
      <c r="B48" s="15" t="s">
        <v>115</v>
      </c>
      <c r="C48" s="16">
        <v>1</v>
      </c>
      <c r="D48" s="15">
        <v>1</v>
      </c>
      <c r="E48" s="17">
        <v>2</v>
      </c>
      <c r="F48" s="17">
        <v>3</v>
      </c>
      <c r="G48" s="15">
        <v>2</v>
      </c>
      <c r="H48" s="15">
        <v>3</v>
      </c>
      <c r="I48" s="17">
        <v>3</v>
      </c>
      <c r="J48" s="17">
        <v>1</v>
      </c>
      <c r="K48" s="17">
        <v>1</v>
      </c>
      <c r="L48" s="17">
        <v>3</v>
      </c>
      <c r="M48" s="17">
        <v>2</v>
      </c>
      <c r="N48" s="18">
        <v>1</v>
      </c>
      <c r="O48" s="15">
        <v>1</v>
      </c>
      <c r="P48" s="19">
        <f t="shared" si="0"/>
        <v>24</v>
      </c>
    </row>
    <row r="49" spans="1:16" x14ac:dyDescent="0.25">
      <c r="A49" s="15" t="s">
        <v>63</v>
      </c>
      <c r="B49" s="15" t="s">
        <v>115</v>
      </c>
      <c r="C49" s="15">
        <v>2</v>
      </c>
      <c r="D49" s="15">
        <v>1</v>
      </c>
      <c r="E49" s="17">
        <v>3</v>
      </c>
      <c r="F49" s="17">
        <v>3</v>
      </c>
      <c r="G49" s="15">
        <v>2</v>
      </c>
      <c r="H49" s="15">
        <v>2</v>
      </c>
      <c r="I49" s="17">
        <v>1</v>
      </c>
      <c r="J49" s="17">
        <v>4</v>
      </c>
      <c r="K49" s="17">
        <v>1</v>
      </c>
      <c r="L49" s="17">
        <v>3</v>
      </c>
      <c r="M49" s="17">
        <v>4</v>
      </c>
      <c r="N49" s="17">
        <v>1</v>
      </c>
      <c r="O49" s="15">
        <v>2</v>
      </c>
      <c r="P49" s="19">
        <f t="shared" si="0"/>
        <v>29</v>
      </c>
    </row>
    <row r="50" spans="1:16" x14ac:dyDescent="0.25">
      <c r="A50" s="15" t="s">
        <v>63</v>
      </c>
      <c r="B50" s="15" t="s">
        <v>115</v>
      </c>
      <c r="C50" s="15">
        <v>3</v>
      </c>
      <c r="D50" s="15">
        <v>4</v>
      </c>
      <c r="E50" s="17">
        <v>4</v>
      </c>
      <c r="F50" s="17">
        <v>2</v>
      </c>
      <c r="G50" s="15">
        <v>2</v>
      </c>
      <c r="H50" s="15">
        <v>4</v>
      </c>
      <c r="I50" s="18">
        <v>2</v>
      </c>
      <c r="J50" s="17">
        <v>4</v>
      </c>
      <c r="K50" s="17">
        <v>1</v>
      </c>
      <c r="L50" s="17">
        <v>1</v>
      </c>
      <c r="M50" s="17">
        <v>4</v>
      </c>
      <c r="N50" s="17">
        <v>1</v>
      </c>
      <c r="O50" s="15">
        <v>2</v>
      </c>
      <c r="P50" s="19">
        <f t="shared" si="0"/>
        <v>34</v>
      </c>
    </row>
    <row r="51" spans="1:16" x14ac:dyDescent="0.25">
      <c r="A51" s="15" t="s">
        <v>81</v>
      </c>
      <c r="B51" s="16" t="s">
        <v>117</v>
      </c>
      <c r="C51" s="15">
        <v>4</v>
      </c>
      <c r="D51" s="15">
        <v>3</v>
      </c>
      <c r="E51" s="17">
        <v>3</v>
      </c>
      <c r="F51" s="17">
        <v>2</v>
      </c>
      <c r="G51" s="15">
        <v>3</v>
      </c>
      <c r="H51" s="15">
        <v>4</v>
      </c>
      <c r="I51" s="17">
        <v>2</v>
      </c>
      <c r="J51" s="17">
        <v>4</v>
      </c>
      <c r="K51" s="17">
        <v>3</v>
      </c>
      <c r="L51" s="17">
        <v>1</v>
      </c>
      <c r="M51" s="17">
        <v>2</v>
      </c>
      <c r="N51" s="18">
        <v>3</v>
      </c>
      <c r="O51" s="15">
        <v>3</v>
      </c>
      <c r="P51" s="19">
        <f t="shared" si="0"/>
        <v>37</v>
      </c>
    </row>
    <row r="52" spans="1:16" x14ac:dyDescent="0.25">
      <c r="A52" s="15" t="s">
        <v>80</v>
      </c>
      <c r="B52" s="15" t="s">
        <v>118</v>
      </c>
      <c r="C52" s="15">
        <v>2</v>
      </c>
      <c r="D52" s="15">
        <v>3</v>
      </c>
      <c r="E52" s="17">
        <v>3</v>
      </c>
      <c r="F52" s="17">
        <v>2</v>
      </c>
      <c r="G52" s="15">
        <v>2</v>
      </c>
      <c r="H52" s="15">
        <v>2</v>
      </c>
      <c r="I52" s="17">
        <v>3</v>
      </c>
      <c r="J52" s="17">
        <v>4</v>
      </c>
      <c r="K52" s="17">
        <v>3</v>
      </c>
      <c r="L52" s="17">
        <v>1</v>
      </c>
      <c r="M52" s="17">
        <v>4</v>
      </c>
      <c r="N52" s="17">
        <v>3</v>
      </c>
      <c r="O52" s="15">
        <v>3</v>
      </c>
      <c r="P52" s="19">
        <f t="shared" si="0"/>
        <v>35</v>
      </c>
    </row>
    <row r="53" spans="1:16" x14ac:dyDescent="0.25">
      <c r="A53" s="15" t="s">
        <v>71</v>
      </c>
      <c r="B53" s="15" t="s">
        <v>116</v>
      </c>
      <c r="C53" s="15">
        <v>2</v>
      </c>
      <c r="D53" s="15">
        <v>4</v>
      </c>
      <c r="E53" s="17">
        <v>3</v>
      </c>
      <c r="F53" s="17">
        <v>3</v>
      </c>
      <c r="G53" s="15">
        <v>2</v>
      </c>
      <c r="H53" s="15">
        <v>2</v>
      </c>
      <c r="I53" s="17">
        <v>3</v>
      </c>
      <c r="J53" s="17">
        <v>4</v>
      </c>
      <c r="K53" s="17">
        <v>3</v>
      </c>
      <c r="L53" s="17">
        <v>3</v>
      </c>
      <c r="M53" s="17">
        <v>2</v>
      </c>
      <c r="N53" s="17">
        <v>2</v>
      </c>
      <c r="O53" s="15">
        <v>3</v>
      </c>
      <c r="P53" s="19">
        <f t="shared" si="0"/>
        <v>36</v>
      </c>
    </row>
    <row r="54" spans="1:16" x14ac:dyDescent="0.25">
      <c r="A54" s="15" t="s">
        <v>81</v>
      </c>
      <c r="B54" s="15" t="s">
        <v>116</v>
      </c>
      <c r="C54" s="15">
        <v>1</v>
      </c>
      <c r="D54" s="15">
        <v>1</v>
      </c>
      <c r="E54" s="17">
        <v>1</v>
      </c>
      <c r="F54" s="17">
        <v>1</v>
      </c>
      <c r="G54" s="15">
        <v>1</v>
      </c>
      <c r="H54" s="15">
        <v>1</v>
      </c>
      <c r="I54" s="17">
        <v>3</v>
      </c>
      <c r="J54" s="17">
        <v>2</v>
      </c>
      <c r="K54" s="17">
        <v>1</v>
      </c>
      <c r="L54" s="17">
        <v>1</v>
      </c>
      <c r="M54" s="17">
        <v>4</v>
      </c>
      <c r="N54" s="17">
        <v>1</v>
      </c>
      <c r="O54" s="15">
        <v>1</v>
      </c>
      <c r="P54" s="19">
        <f t="shared" si="0"/>
        <v>19</v>
      </c>
    </row>
    <row r="55" spans="1:16" x14ac:dyDescent="0.25">
      <c r="A55" s="15" t="s">
        <v>71</v>
      </c>
      <c r="B55" s="15" t="s">
        <v>116</v>
      </c>
      <c r="C55" s="15">
        <v>2</v>
      </c>
      <c r="D55" s="15">
        <v>3</v>
      </c>
      <c r="E55" s="17">
        <v>1</v>
      </c>
      <c r="F55" s="17">
        <v>1</v>
      </c>
      <c r="G55" s="15">
        <v>2</v>
      </c>
      <c r="H55" s="15">
        <v>3</v>
      </c>
      <c r="I55" s="17">
        <v>4</v>
      </c>
      <c r="J55" s="17">
        <v>3</v>
      </c>
      <c r="K55" s="17">
        <v>1</v>
      </c>
      <c r="L55" s="17">
        <v>1</v>
      </c>
      <c r="M55" s="17">
        <v>1</v>
      </c>
      <c r="N55" s="17">
        <v>2</v>
      </c>
      <c r="O55" s="15">
        <v>2</v>
      </c>
      <c r="P55" s="19">
        <f t="shared" si="0"/>
        <v>26</v>
      </c>
    </row>
    <row r="56" spans="1:16" x14ac:dyDescent="0.25">
      <c r="A56" s="15" t="s">
        <v>63</v>
      </c>
      <c r="B56" s="15" t="s">
        <v>115</v>
      </c>
      <c r="C56" s="15">
        <v>1</v>
      </c>
      <c r="D56" s="15">
        <v>1</v>
      </c>
      <c r="E56" s="17">
        <v>1</v>
      </c>
      <c r="F56" s="17">
        <v>1</v>
      </c>
      <c r="G56" s="15">
        <v>1</v>
      </c>
      <c r="H56" s="15">
        <v>1</v>
      </c>
      <c r="I56" s="17">
        <v>1</v>
      </c>
      <c r="J56" s="17">
        <v>2</v>
      </c>
      <c r="K56" s="17">
        <v>1</v>
      </c>
      <c r="L56" s="17">
        <v>1</v>
      </c>
      <c r="M56" s="17">
        <v>2</v>
      </c>
      <c r="N56" s="17">
        <v>1</v>
      </c>
      <c r="O56" s="15">
        <v>1</v>
      </c>
      <c r="P56" s="19">
        <f t="shared" si="0"/>
        <v>15</v>
      </c>
    </row>
    <row r="57" spans="1:16" x14ac:dyDescent="0.25">
      <c r="A57" s="15" t="s">
        <v>63</v>
      </c>
      <c r="B57" s="15" t="s">
        <v>115</v>
      </c>
      <c r="C57" s="15">
        <v>2</v>
      </c>
      <c r="D57" s="15">
        <v>2</v>
      </c>
      <c r="E57" s="17">
        <v>4</v>
      </c>
      <c r="F57" s="17">
        <v>2</v>
      </c>
      <c r="G57" s="15">
        <v>2</v>
      </c>
      <c r="H57" s="15">
        <v>2</v>
      </c>
      <c r="I57" s="17">
        <v>2</v>
      </c>
      <c r="J57" s="17">
        <v>3</v>
      </c>
      <c r="K57" s="17">
        <v>1</v>
      </c>
      <c r="L57" s="17">
        <v>3</v>
      </c>
      <c r="M57" s="17">
        <v>1</v>
      </c>
      <c r="N57" s="17">
        <v>2</v>
      </c>
      <c r="O57" s="15">
        <v>3</v>
      </c>
      <c r="P57" s="19">
        <f t="shared" si="0"/>
        <v>29</v>
      </c>
    </row>
    <row r="58" spans="1:16" x14ac:dyDescent="0.25">
      <c r="A58" s="15" t="s">
        <v>63</v>
      </c>
      <c r="B58" s="15" t="s">
        <v>116</v>
      </c>
      <c r="C58" s="15">
        <v>4</v>
      </c>
      <c r="D58" s="15">
        <v>2</v>
      </c>
      <c r="E58" s="17">
        <v>2</v>
      </c>
      <c r="F58" s="17">
        <v>1</v>
      </c>
      <c r="G58" s="15">
        <v>2</v>
      </c>
      <c r="H58" s="15">
        <v>2</v>
      </c>
      <c r="I58" s="17">
        <v>2</v>
      </c>
      <c r="J58" s="17">
        <v>2</v>
      </c>
      <c r="K58" s="17">
        <v>1</v>
      </c>
      <c r="L58" s="17">
        <v>1</v>
      </c>
      <c r="M58" s="17">
        <v>1</v>
      </c>
      <c r="N58" s="17">
        <v>2</v>
      </c>
      <c r="O58" s="15">
        <v>2</v>
      </c>
      <c r="P58" s="19">
        <f t="shared" si="0"/>
        <v>24</v>
      </c>
    </row>
    <row r="59" spans="1:16" x14ac:dyDescent="0.25">
      <c r="A59" s="15" t="s">
        <v>81</v>
      </c>
      <c r="B59" s="15" t="s">
        <v>116</v>
      </c>
      <c r="C59" s="15">
        <v>3</v>
      </c>
      <c r="D59" s="15">
        <v>2</v>
      </c>
      <c r="E59" s="17">
        <v>2</v>
      </c>
      <c r="F59" s="17">
        <v>1</v>
      </c>
      <c r="G59" s="15">
        <v>2</v>
      </c>
      <c r="H59" s="15">
        <v>2</v>
      </c>
      <c r="I59" s="17">
        <v>3</v>
      </c>
      <c r="J59" s="17">
        <v>2</v>
      </c>
      <c r="K59" s="17">
        <v>3</v>
      </c>
      <c r="L59" s="17">
        <v>3</v>
      </c>
      <c r="M59" s="17">
        <v>3</v>
      </c>
      <c r="N59" s="17">
        <v>2</v>
      </c>
      <c r="O59" s="15">
        <v>2</v>
      </c>
      <c r="P59" s="19">
        <f t="shared" si="0"/>
        <v>30</v>
      </c>
    </row>
    <row r="60" spans="1:16" x14ac:dyDescent="0.25">
      <c r="A60" s="15" t="s">
        <v>63</v>
      </c>
      <c r="B60" s="15" t="s">
        <v>115</v>
      </c>
      <c r="C60" s="15">
        <v>1</v>
      </c>
      <c r="D60" s="15">
        <v>1</v>
      </c>
      <c r="E60" s="17">
        <v>3</v>
      </c>
      <c r="F60" s="17">
        <v>1</v>
      </c>
      <c r="G60" s="15">
        <v>1</v>
      </c>
      <c r="H60" s="15">
        <v>4</v>
      </c>
      <c r="I60" s="17">
        <v>2</v>
      </c>
      <c r="J60" s="17">
        <v>1</v>
      </c>
      <c r="K60" s="17">
        <v>1</v>
      </c>
      <c r="L60" s="17">
        <v>3</v>
      </c>
      <c r="M60" s="17">
        <v>1</v>
      </c>
      <c r="N60" s="17">
        <v>1</v>
      </c>
      <c r="O60" s="15">
        <v>1</v>
      </c>
      <c r="P60" s="19">
        <f t="shared" si="0"/>
        <v>21</v>
      </c>
    </row>
    <row r="61" spans="1:16" x14ac:dyDescent="0.25">
      <c r="A61" s="15" t="s">
        <v>63</v>
      </c>
      <c r="B61" s="15" t="s">
        <v>116</v>
      </c>
      <c r="C61" s="15">
        <v>2</v>
      </c>
      <c r="D61" s="15">
        <v>3</v>
      </c>
      <c r="E61" s="17">
        <v>2</v>
      </c>
      <c r="F61" s="17">
        <v>3</v>
      </c>
      <c r="G61" s="15">
        <v>2</v>
      </c>
      <c r="H61" s="15">
        <v>3</v>
      </c>
      <c r="I61" s="17">
        <v>4</v>
      </c>
      <c r="J61" s="17">
        <v>2</v>
      </c>
      <c r="K61" s="17">
        <v>3</v>
      </c>
      <c r="L61" s="17">
        <v>1</v>
      </c>
      <c r="M61" s="17">
        <v>1</v>
      </c>
      <c r="N61" s="17">
        <v>3</v>
      </c>
      <c r="O61" s="15">
        <v>1</v>
      </c>
      <c r="P61" s="19">
        <f t="shared" si="0"/>
        <v>30</v>
      </c>
    </row>
    <row r="62" spans="1:16" x14ac:dyDescent="0.25">
      <c r="A62" s="15" t="s">
        <v>80</v>
      </c>
      <c r="B62" s="15" t="s">
        <v>117</v>
      </c>
      <c r="C62" s="15">
        <v>4</v>
      </c>
      <c r="D62" s="15">
        <v>4</v>
      </c>
      <c r="E62" s="17">
        <v>3</v>
      </c>
      <c r="F62" s="17">
        <v>2</v>
      </c>
      <c r="G62" s="15">
        <v>3</v>
      </c>
      <c r="H62" s="15">
        <v>4</v>
      </c>
      <c r="I62" s="17">
        <v>3</v>
      </c>
      <c r="J62" s="17">
        <v>4</v>
      </c>
      <c r="K62" s="17">
        <v>3</v>
      </c>
      <c r="L62" s="17">
        <v>1</v>
      </c>
      <c r="M62" s="17">
        <v>4</v>
      </c>
      <c r="N62" s="17">
        <v>3</v>
      </c>
      <c r="O62" s="15">
        <v>4</v>
      </c>
      <c r="P62" s="19">
        <f t="shared" si="0"/>
        <v>42</v>
      </c>
    </row>
    <row r="63" spans="1:16" x14ac:dyDescent="0.25">
      <c r="A63" s="15" t="s">
        <v>80</v>
      </c>
      <c r="B63" s="15" t="s">
        <v>117</v>
      </c>
      <c r="C63" s="15">
        <v>3</v>
      </c>
      <c r="D63" s="15">
        <v>2</v>
      </c>
      <c r="E63" s="17">
        <v>3</v>
      </c>
      <c r="F63" s="17">
        <v>1</v>
      </c>
      <c r="G63" s="15">
        <v>2</v>
      </c>
      <c r="H63" s="15">
        <v>3</v>
      </c>
      <c r="I63" s="17">
        <v>3</v>
      </c>
      <c r="J63" s="17">
        <v>2</v>
      </c>
      <c r="K63" s="17">
        <v>3</v>
      </c>
      <c r="L63" s="17">
        <v>1</v>
      </c>
      <c r="M63" s="17">
        <v>2</v>
      </c>
      <c r="N63" s="17">
        <v>2</v>
      </c>
      <c r="O63" s="15">
        <v>3</v>
      </c>
      <c r="P63" s="19">
        <f t="shared" si="0"/>
        <v>30</v>
      </c>
    </row>
    <row r="64" spans="1:16" x14ac:dyDescent="0.25">
      <c r="A64" s="15" t="s">
        <v>81</v>
      </c>
      <c r="B64" s="15" t="s">
        <v>117</v>
      </c>
      <c r="C64" s="15">
        <v>1</v>
      </c>
      <c r="D64" s="15">
        <v>3</v>
      </c>
      <c r="E64" s="17">
        <v>3</v>
      </c>
      <c r="F64" s="17">
        <v>1</v>
      </c>
      <c r="G64" s="15">
        <v>2</v>
      </c>
      <c r="H64" s="15">
        <v>4</v>
      </c>
      <c r="I64" s="17">
        <v>3</v>
      </c>
      <c r="J64" s="17">
        <v>2</v>
      </c>
      <c r="K64" s="17">
        <v>3</v>
      </c>
      <c r="L64" s="17">
        <v>3</v>
      </c>
      <c r="M64" s="17">
        <v>3</v>
      </c>
      <c r="N64" s="17">
        <v>2</v>
      </c>
      <c r="O64" s="15">
        <v>4</v>
      </c>
      <c r="P64" s="19">
        <f t="shared" si="0"/>
        <v>34</v>
      </c>
    </row>
    <row r="65" spans="1:16" x14ac:dyDescent="0.25">
      <c r="A65" s="15" t="s">
        <v>81</v>
      </c>
      <c r="B65" s="15" t="s">
        <v>116</v>
      </c>
      <c r="C65" s="15">
        <v>3</v>
      </c>
      <c r="D65" s="15">
        <v>2</v>
      </c>
      <c r="E65" s="17">
        <v>2</v>
      </c>
      <c r="F65" s="17">
        <v>1</v>
      </c>
      <c r="G65" s="15">
        <v>1</v>
      </c>
      <c r="H65" s="15">
        <v>2</v>
      </c>
      <c r="I65" s="17">
        <v>3</v>
      </c>
      <c r="J65" s="17">
        <v>2</v>
      </c>
      <c r="K65" s="17">
        <v>3</v>
      </c>
      <c r="L65" s="17">
        <v>1</v>
      </c>
      <c r="M65" s="17">
        <v>3</v>
      </c>
      <c r="N65" s="17">
        <v>2</v>
      </c>
      <c r="O65" s="15">
        <v>1</v>
      </c>
      <c r="P65" s="19">
        <f t="shared" si="0"/>
        <v>26</v>
      </c>
    </row>
    <row r="66" spans="1:16" x14ac:dyDescent="0.25">
      <c r="A66" s="15" t="s">
        <v>63</v>
      </c>
      <c r="B66" s="15" t="s">
        <v>116</v>
      </c>
      <c r="C66" s="15">
        <v>3</v>
      </c>
      <c r="D66" s="15">
        <v>2</v>
      </c>
      <c r="E66" s="17">
        <v>1</v>
      </c>
      <c r="F66" s="17">
        <v>1</v>
      </c>
      <c r="G66" s="15">
        <v>1</v>
      </c>
      <c r="H66" s="15">
        <v>1</v>
      </c>
      <c r="I66" s="17">
        <v>1</v>
      </c>
      <c r="J66" s="17">
        <v>2</v>
      </c>
      <c r="K66" s="17">
        <v>1</v>
      </c>
      <c r="L66" s="17">
        <v>3</v>
      </c>
      <c r="M66" s="17">
        <v>2</v>
      </c>
      <c r="N66" s="17">
        <v>3</v>
      </c>
      <c r="O66" s="15">
        <v>1</v>
      </c>
      <c r="P66" s="19">
        <f t="shared" si="0"/>
        <v>22</v>
      </c>
    </row>
    <row r="67" spans="1:16" x14ac:dyDescent="0.25">
      <c r="A67" s="15" t="s">
        <v>63</v>
      </c>
      <c r="B67" s="15" t="s">
        <v>115</v>
      </c>
      <c r="C67" s="15">
        <v>4</v>
      </c>
      <c r="D67" s="15">
        <v>2</v>
      </c>
      <c r="E67" s="17">
        <v>2</v>
      </c>
      <c r="F67" s="17">
        <v>2</v>
      </c>
      <c r="G67" s="15">
        <v>1</v>
      </c>
      <c r="H67" s="15">
        <v>2</v>
      </c>
      <c r="I67" s="17">
        <v>1</v>
      </c>
      <c r="J67" s="17">
        <v>2</v>
      </c>
      <c r="K67" s="17">
        <v>3</v>
      </c>
      <c r="L67" s="17">
        <v>3</v>
      </c>
      <c r="M67" s="17">
        <v>3</v>
      </c>
      <c r="N67" s="17">
        <v>2</v>
      </c>
      <c r="O67" s="15">
        <v>1</v>
      </c>
      <c r="P67" s="19">
        <f t="shared" si="0"/>
        <v>28</v>
      </c>
    </row>
    <row r="68" spans="1:16" x14ac:dyDescent="0.25">
      <c r="A68" s="15" t="s">
        <v>63</v>
      </c>
      <c r="B68" s="15" t="s">
        <v>118</v>
      </c>
      <c r="C68" s="15">
        <v>4</v>
      </c>
      <c r="D68" s="15">
        <v>4</v>
      </c>
      <c r="E68" s="17">
        <v>1</v>
      </c>
      <c r="F68" s="17">
        <v>2</v>
      </c>
      <c r="G68" s="15">
        <v>3</v>
      </c>
      <c r="H68" s="15">
        <v>3</v>
      </c>
      <c r="I68" s="17">
        <v>3</v>
      </c>
      <c r="J68" s="17">
        <v>4</v>
      </c>
      <c r="K68" s="17">
        <v>3</v>
      </c>
      <c r="L68" s="17">
        <v>3</v>
      </c>
      <c r="M68" s="17">
        <v>3</v>
      </c>
      <c r="N68" s="17">
        <v>2</v>
      </c>
      <c r="O68" s="15">
        <v>2</v>
      </c>
      <c r="P68" s="19">
        <f t="shared" ref="P68" si="1">SUM(C68:O68)</f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E33E-B91E-43E8-943D-2698A66FB830}">
  <dimension ref="A1:B68"/>
  <sheetViews>
    <sheetView workbookViewId="0">
      <selection activeCell="C16" sqref="C16"/>
    </sheetView>
  </sheetViews>
  <sheetFormatPr defaultRowHeight="12.5" x14ac:dyDescent="0.25"/>
  <cols>
    <col min="1" max="1" width="14.81640625" style="15" customWidth="1"/>
    <col min="2" max="2" width="8.7265625" style="20"/>
    <col min="3" max="16384" width="8.7265625" style="15"/>
  </cols>
  <sheetData>
    <row r="1" spans="1:2" ht="25" x14ac:dyDescent="0.25">
      <c r="A1" s="13" t="s">
        <v>49</v>
      </c>
      <c r="B1" s="14"/>
    </row>
    <row r="2" spans="1:2" x14ac:dyDescent="0.25">
      <c r="A2" s="13"/>
      <c r="B2" s="14"/>
    </row>
    <row r="3" spans="1:2" x14ac:dyDescent="0.25">
      <c r="A3" s="16" t="s">
        <v>115</v>
      </c>
      <c r="B3" s="19">
        <f>SUM(Sheet3!C3:O3)</f>
        <v>30</v>
      </c>
    </row>
    <row r="4" spans="1:2" x14ac:dyDescent="0.25">
      <c r="A4" s="15" t="s">
        <v>115</v>
      </c>
      <c r="B4" s="19">
        <f>SUM(Sheet3!C4:O4)</f>
        <v>27</v>
      </c>
    </row>
    <row r="5" spans="1:2" x14ac:dyDescent="0.25">
      <c r="A5" s="15" t="s">
        <v>115</v>
      </c>
      <c r="B5" s="19">
        <f>SUM(Sheet3!C5:O5)</f>
        <v>35</v>
      </c>
    </row>
    <row r="6" spans="1:2" x14ac:dyDescent="0.25">
      <c r="A6" s="16" t="s">
        <v>119</v>
      </c>
      <c r="B6" s="19">
        <f>SUM(Sheet3!C6:O6)</f>
        <v>30</v>
      </c>
    </row>
    <row r="7" spans="1:2" x14ac:dyDescent="0.25">
      <c r="A7" s="16" t="s">
        <v>119</v>
      </c>
      <c r="B7" s="19">
        <f>SUM(Sheet3!C7:O7)</f>
        <v>28</v>
      </c>
    </row>
    <row r="8" spans="1:2" x14ac:dyDescent="0.25">
      <c r="A8" s="15" t="s">
        <v>115</v>
      </c>
      <c r="B8" s="19">
        <f>SUM(Sheet3!C8:O8)</f>
        <v>28</v>
      </c>
    </row>
    <row r="9" spans="1:2" x14ac:dyDescent="0.25">
      <c r="A9" s="15" t="s">
        <v>115</v>
      </c>
      <c r="B9" s="19">
        <f>SUM(Sheet3!C9:O9)</f>
        <v>28</v>
      </c>
    </row>
    <row r="10" spans="1:2" x14ac:dyDescent="0.25">
      <c r="A10" s="15" t="s">
        <v>115</v>
      </c>
      <c r="B10" s="19">
        <f>SUM(Sheet3!C10:O10)</f>
        <v>28</v>
      </c>
    </row>
    <row r="11" spans="1:2" x14ac:dyDescent="0.25">
      <c r="A11" s="15" t="s">
        <v>115</v>
      </c>
      <c r="B11" s="19">
        <f>SUM(Sheet3!C11:O11)</f>
        <v>22</v>
      </c>
    </row>
    <row r="12" spans="1:2" x14ac:dyDescent="0.25">
      <c r="A12" s="15" t="s">
        <v>115</v>
      </c>
      <c r="B12" s="19">
        <f>SUM(Sheet3!C12:O12)</f>
        <v>29</v>
      </c>
    </row>
    <row r="13" spans="1:2" x14ac:dyDescent="0.25">
      <c r="A13" s="16" t="s">
        <v>116</v>
      </c>
      <c r="B13" s="19">
        <f>SUM(Sheet3!C13:O13)</f>
        <v>19</v>
      </c>
    </row>
    <row r="14" spans="1:2" x14ac:dyDescent="0.25">
      <c r="A14" s="15" t="s">
        <v>116</v>
      </c>
      <c r="B14" s="19">
        <f>SUM(Sheet3!C14:O14)</f>
        <v>23</v>
      </c>
    </row>
    <row r="15" spans="1:2" x14ac:dyDescent="0.25">
      <c r="A15" s="15" t="s">
        <v>116</v>
      </c>
      <c r="B15" s="19">
        <f>SUM(Sheet3!C15:O15)</f>
        <v>31</v>
      </c>
    </row>
    <row r="16" spans="1:2" x14ac:dyDescent="0.25">
      <c r="A16" s="15" t="s">
        <v>115</v>
      </c>
      <c r="B16" s="19">
        <f>SUM(Sheet3!C16:O16)</f>
        <v>18</v>
      </c>
    </row>
    <row r="17" spans="1:2" x14ac:dyDescent="0.25">
      <c r="A17" s="15" t="s">
        <v>115</v>
      </c>
      <c r="B17" s="19">
        <f>SUM(Sheet3!C17:O17)</f>
        <v>25</v>
      </c>
    </row>
    <row r="18" spans="1:2" x14ac:dyDescent="0.25">
      <c r="A18" s="15" t="s">
        <v>115</v>
      </c>
      <c r="B18" s="19">
        <f>SUM(Sheet3!C18:O18)</f>
        <v>19</v>
      </c>
    </row>
    <row r="19" spans="1:2" x14ac:dyDescent="0.25">
      <c r="A19" s="15" t="s">
        <v>116</v>
      </c>
      <c r="B19" s="19">
        <f>SUM(Sheet3!C19:O19)</f>
        <v>34</v>
      </c>
    </row>
    <row r="20" spans="1:2" x14ac:dyDescent="0.25">
      <c r="A20" s="15" t="s">
        <v>116</v>
      </c>
      <c r="B20" s="19">
        <f>SUM(Sheet3!C20:O20)</f>
        <v>35</v>
      </c>
    </row>
    <row r="21" spans="1:2" x14ac:dyDescent="0.25">
      <c r="A21" s="15" t="s">
        <v>115</v>
      </c>
      <c r="B21" s="19">
        <f>SUM(Sheet3!C21:O21)</f>
        <v>23</v>
      </c>
    </row>
    <row r="22" spans="1:2" x14ac:dyDescent="0.25">
      <c r="A22" s="15" t="s">
        <v>115</v>
      </c>
      <c r="B22" s="19">
        <f>SUM(Sheet3!C22:O22)</f>
        <v>34</v>
      </c>
    </row>
    <row r="23" spans="1:2" x14ac:dyDescent="0.25">
      <c r="A23" s="15" t="s">
        <v>115</v>
      </c>
      <c r="B23" s="19">
        <f>SUM(Sheet3!C23:O23)</f>
        <v>29</v>
      </c>
    </row>
    <row r="24" spans="1:2" x14ac:dyDescent="0.25">
      <c r="A24" s="15" t="s">
        <v>115</v>
      </c>
      <c r="B24" s="19">
        <f>SUM(Sheet3!C24:O24)</f>
        <v>32</v>
      </c>
    </row>
    <row r="25" spans="1:2" x14ac:dyDescent="0.25">
      <c r="A25" s="15" t="s">
        <v>115</v>
      </c>
      <c r="B25" s="19">
        <f>SUM(Sheet3!C25:O25)</f>
        <v>30</v>
      </c>
    </row>
    <row r="26" spans="1:2" x14ac:dyDescent="0.25">
      <c r="A26" s="15" t="s">
        <v>115</v>
      </c>
      <c r="B26" s="19">
        <f>SUM(Sheet3!C26:O26)</f>
        <v>26</v>
      </c>
    </row>
    <row r="27" spans="1:2" x14ac:dyDescent="0.25">
      <c r="A27" s="15" t="s">
        <v>116</v>
      </c>
      <c r="B27" s="19">
        <f>SUM(Sheet3!C27:O27)</f>
        <v>26</v>
      </c>
    </row>
    <row r="28" spans="1:2" x14ac:dyDescent="0.25">
      <c r="A28" s="15" t="s">
        <v>116</v>
      </c>
      <c r="B28" s="19">
        <f>SUM(Sheet3!C28:O28)</f>
        <v>30</v>
      </c>
    </row>
    <row r="29" spans="1:2" x14ac:dyDescent="0.25">
      <c r="A29" s="16" t="s">
        <v>118</v>
      </c>
      <c r="B29" s="19">
        <f>SUM(Sheet3!C29:O29)</f>
        <v>41</v>
      </c>
    </row>
    <row r="30" spans="1:2" x14ac:dyDescent="0.25">
      <c r="A30" s="15" t="s">
        <v>116</v>
      </c>
      <c r="B30" s="19">
        <f>SUM(Sheet3!C30:O30)</f>
        <v>29</v>
      </c>
    </row>
    <row r="31" spans="1:2" x14ac:dyDescent="0.25">
      <c r="A31" s="15" t="s">
        <v>115</v>
      </c>
      <c r="B31" s="19">
        <f>SUM(Sheet3!C31:O31)</f>
        <v>32</v>
      </c>
    </row>
    <row r="32" spans="1:2" x14ac:dyDescent="0.25">
      <c r="A32" s="15" t="s">
        <v>115</v>
      </c>
      <c r="B32" s="19">
        <f>SUM(Sheet3!C32:O32)</f>
        <v>25</v>
      </c>
    </row>
    <row r="33" spans="1:2" x14ac:dyDescent="0.25">
      <c r="A33" s="15" t="s">
        <v>115</v>
      </c>
      <c r="B33" s="19">
        <f>SUM(Sheet3!C33:O33)</f>
        <v>32</v>
      </c>
    </row>
    <row r="34" spans="1:2" x14ac:dyDescent="0.25">
      <c r="A34" s="17" t="s">
        <v>115</v>
      </c>
      <c r="B34" s="19">
        <f>SUM(Sheet3!C34:O34)</f>
        <v>29</v>
      </c>
    </row>
    <row r="35" spans="1:2" x14ac:dyDescent="0.25">
      <c r="A35" s="15" t="s">
        <v>115</v>
      </c>
      <c r="B35" s="19">
        <f>SUM(Sheet3!C35:O35)</f>
        <v>26</v>
      </c>
    </row>
    <row r="36" spans="1:2" x14ac:dyDescent="0.25">
      <c r="A36" s="15" t="s">
        <v>115</v>
      </c>
      <c r="B36" s="19">
        <f>SUM(Sheet3!C36:O36)</f>
        <v>28</v>
      </c>
    </row>
    <row r="37" spans="1:2" x14ac:dyDescent="0.25">
      <c r="A37" s="15" t="s">
        <v>115</v>
      </c>
      <c r="B37" s="19">
        <f>SUM(Sheet3!C37:O37)</f>
        <v>30</v>
      </c>
    </row>
    <row r="38" spans="1:2" x14ac:dyDescent="0.25">
      <c r="A38" s="15" t="s">
        <v>115</v>
      </c>
      <c r="B38" s="19">
        <f>SUM(Sheet3!C38:O38)</f>
        <v>30</v>
      </c>
    </row>
    <row r="39" spans="1:2" x14ac:dyDescent="0.25">
      <c r="A39" s="15" t="s">
        <v>115</v>
      </c>
      <c r="B39" s="19">
        <f>SUM(Sheet3!C39:O39)</f>
        <v>27</v>
      </c>
    </row>
    <row r="40" spans="1:2" x14ac:dyDescent="0.25">
      <c r="A40" s="15" t="s">
        <v>115</v>
      </c>
      <c r="B40" s="19">
        <f>SUM(Sheet3!C40:O40)</f>
        <v>25</v>
      </c>
    </row>
    <row r="41" spans="1:2" x14ac:dyDescent="0.25">
      <c r="A41" s="15" t="s">
        <v>115</v>
      </c>
      <c r="B41" s="19">
        <f>SUM(Sheet3!C41:O41)</f>
        <v>25</v>
      </c>
    </row>
    <row r="42" spans="1:2" x14ac:dyDescent="0.25">
      <c r="A42" s="15" t="s">
        <v>115</v>
      </c>
      <c r="B42" s="19">
        <f>SUM(Sheet3!C42:O42)</f>
        <v>39</v>
      </c>
    </row>
    <row r="43" spans="1:2" x14ac:dyDescent="0.25">
      <c r="A43" s="15" t="s">
        <v>117</v>
      </c>
      <c r="B43" s="19">
        <f>SUM(Sheet3!C43:O43)</f>
        <v>20</v>
      </c>
    </row>
    <row r="44" spans="1:2" x14ac:dyDescent="0.25">
      <c r="A44" s="15" t="s">
        <v>115</v>
      </c>
      <c r="B44" s="19">
        <f>SUM(Sheet3!C44:O44)</f>
        <v>30</v>
      </c>
    </row>
    <row r="45" spans="1:2" x14ac:dyDescent="0.25">
      <c r="A45" s="15" t="s">
        <v>115</v>
      </c>
      <c r="B45" s="19">
        <f>SUM(Sheet3!C45:O45)</f>
        <v>31</v>
      </c>
    </row>
    <row r="46" spans="1:2" x14ac:dyDescent="0.25">
      <c r="A46" s="15" t="s">
        <v>116</v>
      </c>
      <c r="B46" s="19">
        <f>SUM(Sheet3!C46:O46)</f>
        <v>30</v>
      </c>
    </row>
    <row r="47" spans="1:2" x14ac:dyDescent="0.25">
      <c r="A47" s="15" t="s">
        <v>115</v>
      </c>
      <c r="B47" s="19">
        <f>SUM(Sheet3!C47:O47)</f>
        <v>32</v>
      </c>
    </row>
    <row r="48" spans="1:2" x14ac:dyDescent="0.25">
      <c r="A48" s="15" t="s">
        <v>115</v>
      </c>
      <c r="B48" s="19">
        <f>SUM(Sheet3!C48:O48)</f>
        <v>24</v>
      </c>
    </row>
    <row r="49" spans="1:2" x14ac:dyDescent="0.25">
      <c r="A49" s="15" t="s">
        <v>115</v>
      </c>
      <c r="B49" s="19">
        <f>SUM(Sheet3!C49:O49)</f>
        <v>29</v>
      </c>
    </row>
    <row r="50" spans="1:2" x14ac:dyDescent="0.25">
      <c r="A50" s="15" t="s">
        <v>115</v>
      </c>
      <c r="B50" s="19">
        <f>SUM(Sheet3!C50:O50)</f>
        <v>34</v>
      </c>
    </row>
    <row r="51" spans="1:2" x14ac:dyDescent="0.25">
      <c r="A51" s="16" t="s">
        <v>117</v>
      </c>
      <c r="B51" s="19">
        <f>SUM(Sheet3!C51:O51)</f>
        <v>37</v>
      </c>
    </row>
    <row r="52" spans="1:2" x14ac:dyDescent="0.25">
      <c r="A52" s="15" t="s">
        <v>118</v>
      </c>
      <c r="B52" s="19">
        <f>SUM(Sheet3!C52:O52)</f>
        <v>35</v>
      </c>
    </row>
    <row r="53" spans="1:2" x14ac:dyDescent="0.25">
      <c r="A53" s="15" t="s">
        <v>116</v>
      </c>
      <c r="B53" s="19">
        <f>SUM(Sheet3!C53:O53)</f>
        <v>36</v>
      </c>
    </row>
    <row r="54" spans="1:2" x14ac:dyDescent="0.25">
      <c r="A54" s="15" t="s">
        <v>116</v>
      </c>
      <c r="B54" s="19">
        <f>SUM(Sheet3!C54:O54)</f>
        <v>19</v>
      </c>
    </row>
    <row r="55" spans="1:2" x14ac:dyDescent="0.25">
      <c r="A55" s="15" t="s">
        <v>116</v>
      </c>
      <c r="B55" s="19">
        <f>SUM(Sheet3!C55:O55)</f>
        <v>26</v>
      </c>
    </row>
    <row r="56" spans="1:2" x14ac:dyDescent="0.25">
      <c r="A56" s="15" t="s">
        <v>115</v>
      </c>
      <c r="B56" s="19">
        <f>SUM(Sheet3!C56:O56)</f>
        <v>15</v>
      </c>
    </row>
    <row r="57" spans="1:2" x14ac:dyDescent="0.25">
      <c r="A57" s="15" t="s">
        <v>115</v>
      </c>
      <c r="B57" s="19">
        <f>SUM(Sheet3!C57:O57)</f>
        <v>29</v>
      </c>
    </row>
    <row r="58" spans="1:2" x14ac:dyDescent="0.25">
      <c r="A58" s="15" t="s">
        <v>116</v>
      </c>
      <c r="B58" s="19">
        <f>SUM(Sheet3!C58:O58)</f>
        <v>24</v>
      </c>
    </row>
    <row r="59" spans="1:2" x14ac:dyDescent="0.25">
      <c r="A59" s="15" t="s">
        <v>116</v>
      </c>
      <c r="B59" s="19">
        <f>SUM(Sheet3!C59:O59)</f>
        <v>30</v>
      </c>
    </row>
    <row r="60" spans="1:2" x14ac:dyDescent="0.25">
      <c r="A60" s="15" t="s">
        <v>115</v>
      </c>
      <c r="B60" s="19">
        <f>SUM(Sheet3!C60:O60)</f>
        <v>21</v>
      </c>
    </row>
    <row r="61" spans="1:2" x14ac:dyDescent="0.25">
      <c r="A61" s="15" t="s">
        <v>116</v>
      </c>
      <c r="B61" s="19">
        <f>SUM(Sheet3!C61:O61)</f>
        <v>30</v>
      </c>
    </row>
    <row r="62" spans="1:2" x14ac:dyDescent="0.25">
      <c r="A62" s="15" t="s">
        <v>117</v>
      </c>
      <c r="B62" s="19">
        <f>SUM(Sheet3!C62:O62)</f>
        <v>42</v>
      </c>
    </row>
    <row r="63" spans="1:2" x14ac:dyDescent="0.25">
      <c r="A63" s="15" t="s">
        <v>117</v>
      </c>
      <c r="B63" s="19">
        <f>SUM(Sheet3!C63:O63)</f>
        <v>30</v>
      </c>
    </row>
    <row r="64" spans="1:2" x14ac:dyDescent="0.25">
      <c r="A64" s="15" t="s">
        <v>117</v>
      </c>
      <c r="B64" s="19">
        <f>SUM(Sheet3!C64:O64)</f>
        <v>34</v>
      </c>
    </row>
    <row r="65" spans="1:2" x14ac:dyDescent="0.25">
      <c r="A65" s="15" t="s">
        <v>116</v>
      </c>
      <c r="B65" s="19">
        <f>SUM(Sheet3!C65:O65)</f>
        <v>26</v>
      </c>
    </row>
    <row r="66" spans="1:2" x14ac:dyDescent="0.25">
      <c r="A66" s="15" t="s">
        <v>116</v>
      </c>
      <c r="B66" s="19">
        <f>SUM(Sheet3!C66:O66)</f>
        <v>22</v>
      </c>
    </row>
    <row r="67" spans="1:2" x14ac:dyDescent="0.25">
      <c r="A67" s="15" t="s">
        <v>115</v>
      </c>
      <c r="B67" s="19">
        <f>SUM(Sheet3!C67:O67)</f>
        <v>28</v>
      </c>
    </row>
    <row r="68" spans="1:2" x14ac:dyDescent="0.25">
      <c r="A68" s="15" t="s">
        <v>118</v>
      </c>
      <c r="B68" s="19">
        <f>SUM(Sheet3!C68:O68)</f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Sheet5</vt:lpstr>
      <vt:lpstr>Sheet6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TANUSRI BERA</dc:creator>
  <cp:lastModifiedBy>TANUSRI BERA</cp:lastModifiedBy>
  <dcterms:created xsi:type="dcterms:W3CDTF">2025-12-02T14:55:48Z</dcterms:created>
  <dcterms:modified xsi:type="dcterms:W3CDTF">2025-12-08T17:49:15Z</dcterms:modified>
</cp:coreProperties>
</file>