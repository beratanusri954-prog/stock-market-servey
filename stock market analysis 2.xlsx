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02ef7364913837/Desktop/"/>
    </mc:Choice>
  </mc:AlternateContent>
  <xr:revisionPtr revIDLastSave="0" documentId="8_{B6046A5B-F2DC-409F-9262-2EF295D635F5}" xr6:coauthVersionLast="47" xr6:coauthVersionMax="47" xr10:uidLastSave="{00000000-0000-0000-0000-000000000000}"/>
  <bookViews>
    <workbookView xWindow="-110" yWindow="-110" windowWidth="19420" windowHeight="10300" activeTab="5" xr2:uid="{D9FE310B-848A-4974-A102-4FC6741FF95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_xlnm._FilterDatabase" localSheetId="1" hidden="1">Sheet2!$C$1:$C$13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E10" i="5"/>
  <c r="E9" i="5"/>
  <c r="E7" i="5"/>
  <c r="E3" i="5"/>
  <c r="E5" i="5"/>
  <c r="E2" i="5"/>
  <c r="E13" i="5"/>
  <c r="E6" i="5"/>
  <c r="E12" i="5"/>
  <c r="E4" i="5"/>
  <c r="D4" i="5"/>
  <c r="D12" i="5"/>
  <c r="D6" i="5"/>
  <c r="D13" i="5"/>
  <c r="D2" i="5"/>
  <c r="D5" i="5"/>
  <c r="D3" i="5"/>
  <c r="D7" i="5"/>
  <c r="D8" i="5"/>
  <c r="E8" i="5" s="1"/>
  <c r="D9" i="5"/>
  <c r="D10" i="5"/>
  <c r="D11" i="5"/>
  <c r="E11" i="5" s="1"/>
  <c r="C4" i="3" l="1"/>
  <c r="B14" i="2"/>
  <c r="C13" i="2" l="1"/>
  <c r="H12" i="2"/>
  <c r="H11" i="2"/>
  <c r="H10" i="2"/>
  <c r="H9" i="2"/>
  <c r="H8" i="2"/>
  <c r="H7" i="2"/>
  <c r="H6" i="2"/>
  <c r="H5" i="2"/>
  <c r="H4" i="2"/>
  <c r="H3" i="2"/>
  <c r="H2" i="2"/>
  <c r="H1" i="2"/>
  <c r="C10" i="2"/>
  <c r="C6" i="2"/>
  <c r="C4" i="2"/>
  <c r="C8" i="2"/>
  <c r="C7" i="2"/>
  <c r="C11" i="2"/>
  <c r="C5" i="2"/>
  <c r="C3" i="2"/>
  <c r="C12" i="2"/>
  <c r="C9" i="2"/>
</calcChain>
</file>

<file path=xl/sharedStrings.xml><?xml version="1.0" encoding="utf-8"?>
<sst xmlns="http://schemas.openxmlformats.org/spreadsheetml/2006/main" count="203" uniqueCount="56">
  <si>
    <t xml:space="preserve">Mutual  funds name </t>
  </si>
  <si>
    <t xml:space="preserve"> Sharpe ratio</t>
  </si>
  <si>
    <t>Benchmark</t>
  </si>
  <si>
    <t>Rank</t>
  </si>
  <si>
    <t>Franklin India Floating Rate Fund Direct-Growth</t>
  </si>
  <si>
    <t>Remark</t>
  </si>
  <si>
    <t>Poor risk-adjusted returns</t>
  </si>
  <si>
    <t>ICICI Prudential Floating Interest Fund Direct Plan -Growth</t>
  </si>
  <si>
    <t> 5.88</t>
  </si>
  <si>
    <t>Kotak Floating Rate Fund Direct - Growth</t>
  </si>
  <si>
    <t>HDFC Floating Rate Debt Fund Direct Plan-Growth</t>
  </si>
  <si>
    <t>Nippon India Floater Fund Direct-Growth</t>
  </si>
  <si>
    <t>amu</t>
  </si>
  <si>
    <t>expence ratio</t>
  </si>
  <si>
    <t>exitload</t>
  </si>
  <si>
    <t>₹2,989 Cr</t>
  </si>
  <si>
    <t>₹334 Cr</t>
  </si>
  <si>
    <t>Aditya Birla Sun Life Floating Rate Direct Fund-Growth</t>
  </si>
  <si>
    <t>SBI Floating Rate Debt Fund Direct - Growth</t>
  </si>
  <si>
    <t>₹812 Cr</t>
  </si>
  <si>
    <t xml:space="preserve">	2.19 </t>
  </si>
  <si>
    <t>UTI Floater Fund Direct - Growth</t>
  </si>
  <si>
    <t>₹1,409 Cr</t>
  </si>
  <si>
    <t>Axis Floater Fund Direct-Growth</t>
  </si>
  <si>
    <t>₹128 Cr</t>
  </si>
  <si>
    <t>Bandhan Floater Fund Direct-Growth</t>
  </si>
  <si>
    <t>₹298 Cr</t>
  </si>
  <si>
    <t>DSP Floater Fund Direct - Growth</t>
  </si>
  <si>
    <t>₹521 Cr</t>
  </si>
  <si>
    <t>Tata Floating Rate Fund Direct - Growth</t>
  </si>
  <si>
    <t xml:space="preserve">	0.1%</t>
  </si>
  <si>
    <r>
      <t>2.16</t>
    </r>
    <r>
      <rPr>
        <b/>
        <sz val="9"/>
        <color rgb="FF666666"/>
        <rFont val="Arial"/>
        <family val="2"/>
      </rPr>
      <t> </t>
    </r>
  </si>
  <si>
    <r>
      <t>2.66</t>
    </r>
    <r>
      <rPr>
        <b/>
        <sz val="9"/>
        <color rgb="FF666666"/>
        <rFont val="Arial"/>
        <family val="2"/>
      </rPr>
      <t> </t>
    </r>
  </si>
  <si>
    <r>
      <t>2.6</t>
    </r>
    <r>
      <rPr>
        <b/>
        <sz val="9"/>
        <color rgb="FF666666"/>
        <rFont val="Arial"/>
        <family val="2"/>
      </rPr>
      <t> </t>
    </r>
  </si>
  <si>
    <r>
      <rPr>
        <b/>
        <sz val="9"/>
        <color rgb="FF666666"/>
        <rFont val="Arial"/>
        <family val="2"/>
      </rPr>
      <t> 5.88</t>
    </r>
    <r>
      <rPr>
        <b/>
        <sz val="9"/>
        <color rgb="FFCC3D3D"/>
        <rFont val="Arial"/>
        <family val="2"/>
      </rPr>
      <t xml:space="preserve"> </t>
    </r>
  </si>
  <si>
    <r>
      <t>2.69</t>
    </r>
    <r>
      <rPr>
        <b/>
        <sz val="9"/>
        <color rgb="FF666666"/>
        <rFont val="Arial"/>
        <family val="2"/>
      </rPr>
      <t> </t>
    </r>
  </si>
  <si>
    <r>
      <t>2.04</t>
    </r>
    <r>
      <rPr>
        <b/>
        <sz val="9"/>
        <color rgb="FF666666"/>
        <rFont val="Arial"/>
        <family val="2"/>
      </rPr>
      <t> </t>
    </r>
  </si>
  <si>
    <r>
      <t>1.76</t>
    </r>
    <r>
      <rPr>
        <b/>
        <sz val="9"/>
        <color rgb="FF666666"/>
        <rFont val="Arial"/>
        <family val="2"/>
      </rPr>
      <t> </t>
    </r>
  </si>
  <si>
    <r>
      <t>1.3</t>
    </r>
    <r>
      <rPr>
        <b/>
        <sz val="9"/>
        <color rgb="FF666666"/>
        <rFont val="Arial"/>
        <family val="2"/>
      </rPr>
      <t> </t>
    </r>
  </si>
  <si>
    <t>₹7,133 Cr</t>
  </si>
  <si>
    <t>₹15,446 Cr</t>
  </si>
  <si>
    <t>0.26% </t>
  </si>
  <si>
    <t>₹8,259 Cr</t>
  </si>
  <si>
    <t>0.35% </t>
  </si>
  <si>
    <t>₹13,402 Cr</t>
  </si>
  <si>
    <t>Nav</t>
  </si>
  <si>
    <t>Dispartion of amu</t>
  </si>
  <si>
    <t>MEADIAN</t>
  </si>
  <si>
    <t xml:space="preserve">Standard deviation </t>
  </si>
  <si>
    <t>Median</t>
  </si>
  <si>
    <t>Sharp Ratio</t>
  </si>
  <si>
    <t>AUM</t>
  </si>
  <si>
    <t>ExitLoad</t>
  </si>
  <si>
    <t>Expance Ratio</t>
  </si>
  <si>
    <t>NAV</t>
  </si>
  <si>
    <t xml:space="preserve">      Name of Mutual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</si>
</sst>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1"/>
      <color rgb="FF222222"/>
      <name val="Arial"/>
      <family val="2"/>
    </font>
    <font>
      <b/>
      <sz val="11"/>
      <color rgb="FF222222"/>
      <name val="Aptos"/>
      <family val="2"/>
    </font>
    <font>
      <sz val="11"/>
      <color theme="5" tint="-0.249977111117893"/>
      <name val="Arial Black"/>
      <family val="2"/>
    </font>
    <font>
      <b/>
      <sz val="11"/>
      <color theme="5" tint="-0.249977111117893"/>
      <name val="Arial Black"/>
      <family val="2"/>
    </font>
    <font>
      <sz val="9"/>
      <color theme="2" tint="-0.89999084444715716"/>
      <name val="Arial"/>
      <family val="2"/>
    </font>
    <font>
      <b/>
      <sz val="9"/>
      <color rgb="FF222222"/>
      <name val="Arial"/>
      <family val="2"/>
    </font>
    <font>
      <b/>
      <sz val="9"/>
      <color rgb="FF666666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CC3D3D"/>
      <name val="Arial"/>
      <family val="2"/>
    </font>
    <font>
      <b/>
      <sz val="9"/>
      <color theme="2" tint="-0.89999084444715716"/>
      <name val="Arial"/>
      <family val="2"/>
    </font>
    <font>
      <b/>
      <sz val="9"/>
      <color theme="2" tint="-0.89999084444715716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theme="5" tint="-0.249977111117893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EEEEE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0" fontId="11" fillId="0" borderId="0" xfId="0" applyNumberFormat="1" applyFont="1" applyAlignment="1">
      <alignment horizontal="center"/>
    </xf>
    <xf numFmtId="9" fontId="11" fillId="0" borderId="0" xfId="0" applyNumberFormat="1" applyFont="1" applyAlignment="1">
      <alignment horizontal="center"/>
    </xf>
    <xf numFmtId="9" fontId="12" fillId="0" borderId="0" xfId="0" applyNumberFormat="1" applyFont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10" fontId="12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13" fillId="0" borderId="0" xfId="0" applyFont="1"/>
    <xf numFmtId="3" fontId="0" fillId="0" borderId="0" xfId="0" applyNumberFormat="1"/>
    <xf numFmtId="0" fontId="14" fillId="0" borderId="0" xfId="0" applyFont="1"/>
    <xf numFmtId="2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2" borderId="0" xfId="0" applyNumberFormat="1" applyFont="1" applyFill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left" vertical="top" wrapText="1"/>
    </xf>
    <xf numFmtId="0" fontId="6" fillId="0" borderId="1" xfId="0" applyFont="1" applyBorder="1"/>
    <xf numFmtId="9" fontId="11" fillId="2" borderId="0" xfId="0" applyNumberFormat="1" applyFont="1" applyFill="1" applyAlignment="1">
      <alignment horizontal="center" vertical="top" wrapText="1"/>
    </xf>
    <xf numFmtId="9" fontId="11" fillId="0" borderId="1" xfId="0" applyNumberFormat="1" applyFont="1" applyBorder="1" applyAlignment="1">
      <alignment horizontal="center"/>
    </xf>
    <xf numFmtId="49" fontId="0" fillId="0" borderId="0" xfId="0" applyNumberFormat="1"/>
    <xf numFmtId="10" fontId="12" fillId="0" borderId="1" xfId="0" applyNumberFormat="1" applyFont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49" fontId="11" fillId="2" borderId="0" xfId="0" applyNumberFormat="1" applyFont="1" applyFill="1" applyAlignment="1">
      <alignment horizontal="center" vertical="center" wrapText="1"/>
    </xf>
    <xf numFmtId="0" fontId="14" fillId="0" borderId="0" xfId="0" applyFont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9E72-C4F9-4576-AE45-01528819B319}">
  <dimension ref="A1:I13"/>
  <sheetViews>
    <sheetView workbookViewId="0">
      <selection activeCell="B14" sqref="B14"/>
    </sheetView>
  </sheetViews>
  <sheetFormatPr defaultRowHeight="14.5" x14ac:dyDescent="0.35"/>
  <cols>
    <col min="1" max="1" width="44.1796875" customWidth="1"/>
    <col min="2" max="2" width="16.54296875" customWidth="1"/>
    <col min="3" max="3" width="14.453125" customWidth="1"/>
    <col min="4" max="4" width="12.7265625" customWidth="1"/>
    <col min="5" max="5" width="25.08984375" customWidth="1"/>
    <col min="7" max="7" width="17.6328125" customWidth="1"/>
    <col min="8" max="8" width="13.36328125" customWidth="1"/>
  </cols>
  <sheetData>
    <row r="1" spans="1:9" ht="17" x14ac:dyDescent="0.5">
      <c r="A1" s="4" t="s">
        <v>0</v>
      </c>
      <c r="B1" s="4" t="s">
        <v>1</v>
      </c>
      <c r="C1" s="5" t="s">
        <v>2</v>
      </c>
      <c r="D1" s="4" t="s">
        <v>3</v>
      </c>
      <c r="E1" s="4" t="s">
        <v>5</v>
      </c>
      <c r="F1" s="4" t="s">
        <v>12</v>
      </c>
      <c r="G1" s="4" t="s">
        <v>13</v>
      </c>
      <c r="H1" s="4" t="s">
        <v>14</v>
      </c>
      <c r="I1" s="1"/>
    </row>
    <row r="2" spans="1:9" ht="28.5" thickBot="1" x14ac:dyDescent="0.4">
      <c r="A2" s="2" t="s">
        <v>17</v>
      </c>
      <c r="B2" s="21">
        <v>3.17</v>
      </c>
      <c r="C2" s="21">
        <v>5.88</v>
      </c>
      <c r="D2" s="7">
        <v>1</v>
      </c>
      <c r="E2" s="6" t="s">
        <v>6</v>
      </c>
      <c r="F2" s="12" t="s">
        <v>44</v>
      </c>
      <c r="G2" s="9">
        <v>2.3999999999999998E-3</v>
      </c>
      <c r="H2" s="10">
        <v>0</v>
      </c>
    </row>
    <row r="3" spans="1:9" ht="28" x14ac:dyDescent="0.35">
      <c r="A3" s="2" t="s">
        <v>10</v>
      </c>
      <c r="B3" s="19" t="s">
        <v>35</v>
      </c>
      <c r="C3" s="19">
        <v>5.88</v>
      </c>
      <c r="D3" s="7">
        <v>2</v>
      </c>
      <c r="E3" s="6" t="s">
        <v>6</v>
      </c>
      <c r="F3" s="8" t="s">
        <v>40</v>
      </c>
      <c r="G3" s="8" t="s">
        <v>41</v>
      </c>
      <c r="H3" s="10">
        <v>0</v>
      </c>
    </row>
    <row r="4" spans="1:9" ht="28" x14ac:dyDescent="0.35">
      <c r="A4" s="2" t="s">
        <v>7</v>
      </c>
      <c r="B4" s="19" t="s">
        <v>32</v>
      </c>
      <c r="C4" s="18" t="s">
        <v>8</v>
      </c>
      <c r="D4" s="7">
        <v>3</v>
      </c>
      <c r="E4" s="6" t="s">
        <v>6</v>
      </c>
      <c r="F4" s="8" t="s">
        <v>39</v>
      </c>
      <c r="G4" s="9">
        <v>3.8999999999999998E-3</v>
      </c>
      <c r="H4" s="10">
        <v>0</v>
      </c>
    </row>
    <row r="5" spans="1:9" x14ac:dyDescent="0.35">
      <c r="A5" s="2" t="s">
        <v>18</v>
      </c>
      <c r="B5" s="20" t="s">
        <v>20</v>
      </c>
      <c r="C5" s="22">
        <v>5.88</v>
      </c>
      <c r="D5" s="7">
        <v>4</v>
      </c>
      <c r="E5" s="24" t="s">
        <v>6</v>
      </c>
      <c r="F5" s="8" t="s">
        <v>19</v>
      </c>
      <c r="G5" s="9">
        <v>2.5000000000000001E-3</v>
      </c>
      <c r="H5" s="13" t="s">
        <v>30</v>
      </c>
    </row>
    <row r="6" spans="1:9" ht="29" x14ac:dyDescent="0.35">
      <c r="A6" s="3" t="s">
        <v>4</v>
      </c>
      <c r="B6" s="22" t="s">
        <v>31</v>
      </c>
      <c r="C6" s="22">
        <v>5.88</v>
      </c>
      <c r="D6" s="7">
        <v>5</v>
      </c>
      <c r="E6" s="6" t="s">
        <v>6</v>
      </c>
      <c r="F6" s="8" t="s">
        <v>16</v>
      </c>
      <c r="G6" s="9">
        <v>2.3999999999999998E-3</v>
      </c>
      <c r="H6" s="10">
        <v>0</v>
      </c>
    </row>
    <row r="7" spans="1:9" x14ac:dyDescent="0.35">
      <c r="A7" s="2" t="s">
        <v>27</v>
      </c>
      <c r="B7" s="19">
        <v>2.12</v>
      </c>
      <c r="C7" s="18">
        <v>5.88</v>
      </c>
      <c r="D7" s="7">
        <v>6</v>
      </c>
      <c r="E7" s="6" t="s">
        <v>6</v>
      </c>
      <c r="F7" s="8" t="s">
        <v>28</v>
      </c>
      <c r="G7" s="9">
        <v>2.5000000000000001E-3</v>
      </c>
      <c r="H7" s="10">
        <v>0</v>
      </c>
    </row>
    <row r="8" spans="1:9" ht="15" thickBot="1" x14ac:dyDescent="0.4">
      <c r="A8" s="2" t="s">
        <v>9</v>
      </c>
      <c r="B8" s="19" t="s">
        <v>33</v>
      </c>
      <c r="C8" s="21" t="s">
        <v>34</v>
      </c>
      <c r="D8" s="7">
        <v>7</v>
      </c>
      <c r="E8" s="25" t="s">
        <v>6</v>
      </c>
      <c r="F8" s="8" t="s">
        <v>15</v>
      </c>
      <c r="G8" s="9">
        <v>2.5999999999999999E-3</v>
      </c>
      <c r="H8" s="11">
        <v>0</v>
      </c>
    </row>
    <row r="9" spans="1:9" x14ac:dyDescent="0.35">
      <c r="A9" s="2" t="s">
        <v>11</v>
      </c>
      <c r="B9" s="19" t="s">
        <v>36</v>
      </c>
      <c r="C9" s="19">
        <v>5.88</v>
      </c>
      <c r="D9" s="7">
        <v>8</v>
      </c>
      <c r="E9" s="6" t="s">
        <v>6</v>
      </c>
      <c r="F9" s="12" t="s">
        <v>42</v>
      </c>
      <c r="G9" s="8" t="s">
        <v>43</v>
      </c>
      <c r="H9" s="10">
        <v>0</v>
      </c>
    </row>
    <row r="10" spans="1:9" x14ac:dyDescent="0.35">
      <c r="A10" s="2" t="s">
        <v>25</v>
      </c>
      <c r="B10" s="19" t="s">
        <v>37</v>
      </c>
      <c r="C10" s="19">
        <v>5.88</v>
      </c>
      <c r="D10" s="7">
        <v>9</v>
      </c>
      <c r="E10" s="6" t="s">
        <v>6</v>
      </c>
      <c r="F10" s="8" t="s">
        <v>26</v>
      </c>
      <c r="G10" s="9">
        <v>1.1999999999999999E-3</v>
      </c>
      <c r="H10" s="10">
        <v>0</v>
      </c>
    </row>
    <row r="11" spans="1:9" x14ac:dyDescent="0.35">
      <c r="A11" s="2" t="s">
        <v>21</v>
      </c>
      <c r="B11" s="20">
        <v>1.72</v>
      </c>
      <c r="C11" s="19">
        <v>5.88</v>
      </c>
      <c r="D11" s="7">
        <v>10</v>
      </c>
      <c r="E11" s="6" t="s">
        <v>6</v>
      </c>
      <c r="F11" s="8" t="s">
        <v>22</v>
      </c>
      <c r="G11" s="9">
        <v>3.7000000000000002E-3</v>
      </c>
      <c r="H11" s="10">
        <v>0</v>
      </c>
    </row>
    <row r="12" spans="1:9" x14ac:dyDescent="0.35">
      <c r="A12" s="2" t="s">
        <v>29</v>
      </c>
      <c r="B12" s="22" t="s">
        <v>38</v>
      </c>
      <c r="C12" s="18">
        <v>5.88</v>
      </c>
      <c r="D12" s="7">
        <v>11</v>
      </c>
      <c r="E12" s="6" t="s">
        <v>6</v>
      </c>
      <c r="F12" s="8" t="s">
        <v>24</v>
      </c>
      <c r="G12" s="9">
        <v>3.0000000000000001E-3</v>
      </c>
      <c r="H12" s="26">
        <v>0</v>
      </c>
    </row>
    <row r="13" spans="1:9" ht="15" thickBot="1" x14ac:dyDescent="0.4">
      <c r="A13" s="2" t="s">
        <v>23</v>
      </c>
      <c r="B13" s="23">
        <v>0.89</v>
      </c>
      <c r="C13" s="18" t="s">
        <v>8</v>
      </c>
      <c r="D13" s="7">
        <v>12</v>
      </c>
      <c r="E13" s="6" t="s">
        <v>6</v>
      </c>
      <c r="F13" s="8" t="s">
        <v>24</v>
      </c>
      <c r="G13" s="13">
        <v>1.9E-3</v>
      </c>
      <c r="H13" s="27">
        <v>0</v>
      </c>
    </row>
  </sheetData>
  <sortState xmlns:xlrd2="http://schemas.microsoft.com/office/spreadsheetml/2017/richdata2" ref="A2:H13">
    <sortCondition ref="D1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0BAF5-68DE-4D17-87B4-C153D23ACD6D}">
  <dimension ref="A1:K14"/>
  <sheetViews>
    <sheetView workbookViewId="0">
      <selection activeCell="J4" sqref="J4"/>
    </sheetView>
  </sheetViews>
  <sheetFormatPr defaultRowHeight="14.5" x14ac:dyDescent="0.35"/>
  <cols>
    <col min="1" max="1" width="50.453125" customWidth="1"/>
    <col min="2" max="2" width="10.453125" customWidth="1"/>
    <col min="3" max="3" width="21.6328125" customWidth="1"/>
  </cols>
  <sheetData>
    <row r="1" spans="1:11" ht="17" x14ac:dyDescent="0.5">
      <c r="A1" s="4" t="s">
        <v>0</v>
      </c>
      <c r="B1" s="4" t="s">
        <v>12</v>
      </c>
      <c r="C1" s="4" t="s">
        <v>46</v>
      </c>
      <c r="D1" s="5" t="s">
        <v>3</v>
      </c>
      <c r="G1" s="30">
        <v>334</v>
      </c>
      <c r="H1" s="28">
        <f>B14-G1</f>
        <v>776.5</v>
      </c>
    </row>
    <row r="2" spans="1:11" ht="17.5" customHeight="1" x14ac:dyDescent="0.35">
      <c r="A2" s="2" t="s">
        <v>10</v>
      </c>
      <c r="B2" s="30" t="s">
        <v>40</v>
      </c>
      <c r="C2" s="30" t="e">
        <f>B11-G1</f>
        <v>#VALUE!</v>
      </c>
      <c r="D2" s="28">
        <v>1</v>
      </c>
      <c r="G2" s="30">
        <v>128</v>
      </c>
      <c r="H2" s="28">
        <f>B14-G2</f>
        <v>982.5</v>
      </c>
    </row>
    <row r="3" spans="1:11" ht="32" customHeight="1" x14ac:dyDescent="0.35">
      <c r="A3" s="2" t="s">
        <v>17</v>
      </c>
      <c r="B3" s="31" t="s">
        <v>44</v>
      </c>
      <c r="C3" s="31" t="e">
        <f>B10-G2</f>
        <v>#VALUE!</v>
      </c>
      <c r="D3" s="28">
        <v>2</v>
      </c>
      <c r="G3" s="30">
        <v>128</v>
      </c>
      <c r="H3" s="28">
        <f>B14-G3</f>
        <v>982.5</v>
      </c>
    </row>
    <row r="4" spans="1:11" ht="16.5" customHeight="1" x14ac:dyDescent="0.35">
      <c r="A4" s="2" t="s">
        <v>11</v>
      </c>
      <c r="B4" s="31" t="s">
        <v>42</v>
      </c>
      <c r="C4" s="31" t="e">
        <f>B12-G3</f>
        <v>#VALUE!</v>
      </c>
      <c r="D4" s="28">
        <v>3</v>
      </c>
      <c r="G4" s="30">
        <v>298</v>
      </c>
      <c r="H4" s="28">
        <f>B14-G4</f>
        <v>812.5</v>
      </c>
    </row>
    <row r="5" spans="1:11" ht="17.5" customHeight="1" x14ac:dyDescent="0.35">
      <c r="A5" s="2" t="s">
        <v>7</v>
      </c>
      <c r="B5" s="30" t="s">
        <v>39</v>
      </c>
      <c r="C5" s="30">
        <f>B16-G4</f>
        <v>-298</v>
      </c>
      <c r="D5" s="28">
        <v>4</v>
      </c>
      <c r="G5" s="30">
        <v>521</v>
      </c>
      <c r="H5" s="28">
        <f>B14-G5</f>
        <v>589.5</v>
      </c>
    </row>
    <row r="6" spans="1:11" ht="15" customHeight="1" x14ac:dyDescent="0.35">
      <c r="A6" s="2" t="s">
        <v>9</v>
      </c>
      <c r="B6" s="30" t="s">
        <v>15</v>
      </c>
      <c r="C6" s="30">
        <f>B16-G5</f>
        <v>-521</v>
      </c>
      <c r="D6" s="28">
        <v>5</v>
      </c>
      <c r="G6" s="30">
        <v>812</v>
      </c>
      <c r="H6" s="28">
        <f>B14-G6</f>
        <v>298.5</v>
      </c>
      <c r="K6" s="16"/>
    </row>
    <row r="7" spans="1:11" ht="31.5" customHeight="1" x14ac:dyDescent="0.35">
      <c r="A7" s="2" t="s">
        <v>21</v>
      </c>
      <c r="B7" s="30" t="s">
        <v>22</v>
      </c>
      <c r="C7" s="30" t="e">
        <f>B12-G6</f>
        <v>#VALUE!</v>
      </c>
      <c r="D7" s="28">
        <v>6</v>
      </c>
      <c r="G7" s="30">
        <v>1409</v>
      </c>
      <c r="H7" s="28">
        <f>B14-G7</f>
        <v>-298.5</v>
      </c>
    </row>
    <row r="8" spans="1:11" ht="29" customHeight="1" x14ac:dyDescent="0.35">
      <c r="A8" s="2" t="s">
        <v>18</v>
      </c>
      <c r="B8" s="30" t="s">
        <v>19</v>
      </c>
      <c r="C8" s="30">
        <f>B14-G7</f>
        <v>-298.5</v>
      </c>
      <c r="D8" s="28">
        <v>7</v>
      </c>
      <c r="G8" s="30">
        <v>2989</v>
      </c>
      <c r="H8" s="28">
        <f>B14-G8</f>
        <v>-1878.5</v>
      </c>
    </row>
    <row r="9" spans="1:11" ht="13.5" customHeight="1" x14ac:dyDescent="0.35">
      <c r="A9" s="2" t="s">
        <v>27</v>
      </c>
      <c r="B9" s="30" t="s">
        <v>28</v>
      </c>
      <c r="C9" s="30" t="e">
        <f>B11-G8</f>
        <v>#VALUE!</v>
      </c>
      <c r="D9" s="28">
        <v>8</v>
      </c>
      <c r="G9" s="30">
        <v>7133</v>
      </c>
      <c r="H9" s="28">
        <f>B14-G9</f>
        <v>-6022.5</v>
      </c>
    </row>
    <row r="10" spans="1:11" ht="19" customHeight="1" x14ac:dyDescent="0.35">
      <c r="A10" s="3" t="s">
        <v>4</v>
      </c>
      <c r="B10" s="30" t="s">
        <v>16</v>
      </c>
      <c r="C10" s="30">
        <f>B22-G9</f>
        <v>-7133</v>
      </c>
      <c r="D10" s="28">
        <v>9</v>
      </c>
      <c r="G10" s="31">
        <v>8259</v>
      </c>
      <c r="H10" s="28">
        <f>B14-G10</f>
        <v>-7148.5</v>
      </c>
    </row>
    <row r="11" spans="1:11" ht="18" customHeight="1" x14ac:dyDescent="0.35">
      <c r="A11" s="2" t="s">
        <v>25</v>
      </c>
      <c r="B11" s="30" t="s">
        <v>26</v>
      </c>
      <c r="C11" s="30">
        <f>B14-G10</f>
        <v>-7148.5</v>
      </c>
      <c r="D11" s="28">
        <v>10</v>
      </c>
      <c r="G11" s="31">
        <v>13402</v>
      </c>
      <c r="H11" s="28">
        <f>B14-G11</f>
        <v>-12291.5</v>
      </c>
    </row>
    <row r="12" spans="1:11" ht="21.5" customHeight="1" x14ac:dyDescent="0.35">
      <c r="A12" s="2" t="s">
        <v>23</v>
      </c>
      <c r="B12" s="30" t="s">
        <v>24</v>
      </c>
      <c r="C12" s="30">
        <f>B16-G11</f>
        <v>-13402</v>
      </c>
      <c r="D12" s="28">
        <v>11</v>
      </c>
      <c r="G12" s="30">
        <v>15446</v>
      </c>
      <c r="H12" s="28">
        <f>B14-G12</f>
        <v>-14335.5</v>
      </c>
    </row>
    <row r="13" spans="1:11" ht="21.5" customHeight="1" x14ac:dyDescent="0.35">
      <c r="A13" s="2" t="s">
        <v>29</v>
      </c>
      <c r="B13" s="30" t="s">
        <v>24</v>
      </c>
      <c r="C13" s="30">
        <f>B14-G12</f>
        <v>-14335.5</v>
      </c>
      <c r="D13" s="28">
        <v>11</v>
      </c>
    </row>
    <row r="14" spans="1:11" ht="17" x14ac:dyDescent="0.5">
      <c r="A14" s="14" t="s">
        <v>47</v>
      </c>
      <c r="B14" s="15">
        <f>MEDIAN(G1:G12)</f>
        <v>1110.5</v>
      </c>
    </row>
  </sheetData>
  <sortState xmlns:xlrd2="http://schemas.microsoft.com/office/spreadsheetml/2017/richdata2" ref="A2:D14">
    <sortCondition ref="D2:D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4DD7-2E62-4955-959B-DA1ED419E6E7}">
  <dimension ref="A1:C13"/>
  <sheetViews>
    <sheetView workbookViewId="0">
      <selection activeCell="B15" sqref="B15"/>
    </sheetView>
  </sheetViews>
  <sheetFormatPr defaultRowHeight="14.5" x14ac:dyDescent="0.35"/>
  <cols>
    <col min="1" max="1" width="48.26953125" customWidth="1"/>
    <col min="2" max="2" width="21.54296875" customWidth="1"/>
  </cols>
  <sheetData>
    <row r="1" spans="1:3" ht="17" x14ac:dyDescent="0.5">
      <c r="A1" s="4" t="s">
        <v>0</v>
      </c>
      <c r="B1" s="4" t="s">
        <v>13</v>
      </c>
      <c r="C1" s="5" t="s">
        <v>3</v>
      </c>
    </row>
    <row r="2" spans="1:3" ht="14.5" customHeight="1" x14ac:dyDescent="0.35">
      <c r="A2" s="2" t="s">
        <v>25</v>
      </c>
      <c r="B2" s="9">
        <v>1.1999999999999999E-3</v>
      </c>
      <c r="C2" s="28">
        <v>1</v>
      </c>
    </row>
    <row r="3" spans="1:3" ht="36.5" customHeight="1" x14ac:dyDescent="0.35">
      <c r="A3" s="2" t="s">
        <v>23</v>
      </c>
      <c r="B3" s="13">
        <v>1.9E-3</v>
      </c>
      <c r="C3" s="28">
        <v>2</v>
      </c>
    </row>
    <row r="4" spans="1:3" ht="20" customHeight="1" x14ac:dyDescent="0.35">
      <c r="A4" s="3" t="s">
        <v>4</v>
      </c>
      <c r="B4" s="9">
        <v>2.3999999999999998E-3</v>
      </c>
      <c r="C4" s="28">
        <f>RANK(B4,$B$2:$B$13,1)</f>
        <v>3</v>
      </c>
    </row>
    <row r="5" spans="1:3" ht="18.5" customHeight="1" x14ac:dyDescent="0.35">
      <c r="A5" s="2" t="s">
        <v>17</v>
      </c>
      <c r="B5" s="9">
        <v>2.3999999999999998E-3</v>
      </c>
      <c r="C5" s="28">
        <v>3</v>
      </c>
    </row>
    <row r="6" spans="1:3" ht="20.5" customHeight="1" x14ac:dyDescent="0.35">
      <c r="A6" s="2" t="s">
        <v>18</v>
      </c>
      <c r="B6" s="9">
        <v>2.5000000000000001E-3</v>
      </c>
      <c r="C6" s="28">
        <v>4</v>
      </c>
    </row>
    <row r="7" spans="1:3" ht="31" customHeight="1" x14ac:dyDescent="0.35">
      <c r="A7" s="2" t="s">
        <v>27</v>
      </c>
      <c r="B7" s="9">
        <v>2.5000000000000001E-3</v>
      </c>
      <c r="C7" s="28">
        <v>4</v>
      </c>
    </row>
    <row r="8" spans="1:3" ht="29.5" customHeight="1" x14ac:dyDescent="0.35">
      <c r="A8" s="2" t="s">
        <v>9</v>
      </c>
      <c r="B8" s="9">
        <v>2.5999999999999999E-3</v>
      </c>
      <c r="C8" s="28">
        <v>5</v>
      </c>
    </row>
    <row r="9" spans="1:3" ht="16" customHeight="1" x14ac:dyDescent="0.35">
      <c r="A9" s="2" t="s">
        <v>10</v>
      </c>
      <c r="B9" s="8" t="s">
        <v>41</v>
      </c>
      <c r="C9" s="28">
        <v>5</v>
      </c>
    </row>
    <row r="10" spans="1:3" ht="16" customHeight="1" x14ac:dyDescent="0.35">
      <c r="A10" s="2" t="s">
        <v>29</v>
      </c>
      <c r="B10" s="9">
        <v>3.0000000000000001E-3</v>
      </c>
      <c r="C10" s="28">
        <v>6</v>
      </c>
    </row>
    <row r="11" spans="1:3" ht="17" customHeight="1" x14ac:dyDescent="0.35">
      <c r="A11" s="2" t="s">
        <v>11</v>
      </c>
      <c r="B11" s="8" t="s">
        <v>43</v>
      </c>
      <c r="C11" s="28">
        <v>7</v>
      </c>
    </row>
    <row r="12" spans="1:3" ht="19" customHeight="1" x14ac:dyDescent="0.35">
      <c r="A12" s="2" t="s">
        <v>21</v>
      </c>
      <c r="B12" s="9">
        <v>3.7000000000000002E-3</v>
      </c>
      <c r="C12" s="28">
        <v>8</v>
      </c>
    </row>
    <row r="13" spans="1:3" ht="16.5" customHeight="1" x14ac:dyDescent="0.35">
      <c r="A13" s="2" t="s">
        <v>7</v>
      </c>
      <c r="B13" s="9">
        <v>3.8999999999999998E-3</v>
      </c>
      <c r="C13" s="28">
        <v>9</v>
      </c>
    </row>
  </sheetData>
  <sortState xmlns:xlrd2="http://schemas.microsoft.com/office/spreadsheetml/2017/richdata2" ref="A2:C13">
    <sortCondition ref="C2:C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C1B0-CF2D-4189-913A-37DAEB7B83F9}">
  <dimension ref="A1:C13"/>
  <sheetViews>
    <sheetView workbookViewId="0">
      <selection activeCell="A2" sqref="A2:A13"/>
    </sheetView>
  </sheetViews>
  <sheetFormatPr defaultRowHeight="14.5" x14ac:dyDescent="0.35"/>
  <cols>
    <col min="1" max="1" width="49.54296875" customWidth="1"/>
    <col min="2" max="2" width="13.1796875" customWidth="1"/>
  </cols>
  <sheetData>
    <row r="1" spans="1:3" ht="17" x14ac:dyDescent="0.5">
      <c r="A1" s="4" t="s">
        <v>0</v>
      </c>
      <c r="B1" s="4" t="s">
        <v>14</v>
      </c>
      <c r="C1" s="4" t="s">
        <v>3</v>
      </c>
    </row>
    <row r="2" spans="1:3" ht="17" customHeight="1" x14ac:dyDescent="0.35">
      <c r="A2" s="3" t="s">
        <v>4</v>
      </c>
      <c r="B2" s="10">
        <v>0</v>
      </c>
      <c r="C2">
        <v>1</v>
      </c>
    </row>
    <row r="3" spans="1:3" ht="30.5" customHeight="1" x14ac:dyDescent="0.35">
      <c r="A3" s="2" t="s">
        <v>7</v>
      </c>
      <c r="B3" s="10">
        <v>0</v>
      </c>
      <c r="C3">
        <v>1</v>
      </c>
    </row>
    <row r="4" spans="1:3" ht="17" customHeight="1" x14ac:dyDescent="0.35">
      <c r="A4" s="2" t="s">
        <v>9</v>
      </c>
      <c r="B4" s="11">
        <v>0</v>
      </c>
      <c r="C4">
        <v>1</v>
      </c>
    </row>
    <row r="5" spans="1:3" ht="18.5" customHeight="1" x14ac:dyDescent="0.35">
      <c r="A5" s="2" t="s">
        <v>10</v>
      </c>
      <c r="B5" s="10">
        <v>0</v>
      </c>
      <c r="C5">
        <v>1</v>
      </c>
    </row>
    <row r="6" spans="1:3" ht="14.5" customHeight="1" x14ac:dyDescent="0.35">
      <c r="A6" s="2" t="s">
        <v>11</v>
      </c>
      <c r="B6" s="10">
        <v>0</v>
      </c>
      <c r="C6">
        <v>1</v>
      </c>
    </row>
    <row r="7" spans="1:3" ht="33.5" customHeight="1" x14ac:dyDescent="0.35">
      <c r="A7" s="2" t="s">
        <v>17</v>
      </c>
      <c r="B7" s="10">
        <v>0</v>
      </c>
      <c r="C7">
        <v>1</v>
      </c>
    </row>
    <row r="8" spans="1:3" ht="26" customHeight="1" x14ac:dyDescent="0.35">
      <c r="A8" s="2" t="s">
        <v>21</v>
      </c>
      <c r="B8" s="10">
        <v>0</v>
      </c>
      <c r="C8">
        <v>1</v>
      </c>
    </row>
    <row r="9" spans="1:3" ht="20.5" customHeight="1" x14ac:dyDescent="0.35">
      <c r="A9" s="2" t="s">
        <v>23</v>
      </c>
      <c r="B9" s="10">
        <v>0</v>
      </c>
      <c r="C9">
        <v>1</v>
      </c>
    </row>
    <row r="10" spans="1:3" ht="17.5" customHeight="1" x14ac:dyDescent="0.35">
      <c r="A10" s="2" t="s">
        <v>25</v>
      </c>
      <c r="B10" s="10">
        <v>0</v>
      </c>
      <c r="C10">
        <v>1</v>
      </c>
    </row>
    <row r="11" spans="1:3" ht="20.5" customHeight="1" x14ac:dyDescent="0.35">
      <c r="A11" s="2" t="s">
        <v>27</v>
      </c>
      <c r="B11" s="10">
        <v>0</v>
      </c>
      <c r="C11">
        <v>1</v>
      </c>
    </row>
    <row r="12" spans="1:3" ht="20" customHeight="1" x14ac:dyDescent="0.35">
      <c r="A12" s="2" t="s">
        <v>29</v>
      </c>
      <c r="B12" s="26">
        <v>0</v>
      </c>
      <c r="C12">
        <v>1</v>
      </c>
    </row>
    <row r="13" spans="1:3" ht="18" customHeight="1" thickBot="1" x14ac:dyDescent="0.4">
      <c r="A13" s="2" t="s">
        <v>18</v>
      </c>
      <c r="B13" s="29" t="s">
        <v>30</v>
      </c>
      <c r="C13">
        <v>2</v>
      </c>
    </row>
  </sheetData>
  <sortState xmlns:xlrd2="http://schemas.microsoft.com/office/spreadsheetml/2017/richdata2" ref="A2:C13">
    <sortCondition ref="C2:C1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AC9D-6847-47E4-99DF-D088AD940B7C}">
  <dimension ref="A1:E13"/>
  <sheetViews>
    <sheetView workbookViewId="0">
      <selection activeCell="A12" sqref="A12"/>
    </sheetView>
  </sheetViews>
  <sheetFormatPr defaultRowHeight="14.5" x14ac:dyDescent="0.35"/>
  <cols>
    <col min="1" max="1" width="50.26953125" customWidth="1"/>
    <col min="2" max="3" width="23.36328125" customWidth="1"/>
  </cols>
  <sheetData>
    <row r="1" spans="1:5" ht="17" x14ac:dyDescent="0.5">
      <c r="A1" s="4" t="s">
        <v>0</v>
      </c>
      <c r="B1" s="4" t="s">
        <v>48</v>
      </c>
      <c r="C1" s="4" t="s">
        <v>49</v>
      </c>
      <c r="D1" s="5" t="s">
        <v>45</v>
      </c>
      <c r="E1" s="5" t="s">
        <v>3</v>
      </c>
    </row>
    <row r="2" spans="1:5" ht="14.5" customHeight="1" x14ac:dyDescent="0.35">
      <c r="A2" s="2" t="s">
        <v>21</v>
      </c>
      <c r="B2" s="2">
        <v>83.394031474695893</v>
      </c>
      <c r="C2" s="2">
        <v>1305.9431999999999</v>
      </c>
      <c r="D2">
        <f t="shared" ref="D2:D13" si="0">B2/C2</f>
        <v>6.3857318966625734E-2</v>
      </c>
      <c r="E2">
        <f t="shared" ref="E2:E13" si="1">RANK(D2,$D$2:$D$13,1)</f>
        <v>1</v>
      </c>
    </row>
    <row r="3" spans="1:5" ht="23.5" customHeight="1" x14ac:dyDescent="0.35">
      <c r="A3" s="2" t="s">
        <v>17</v>
      </c>
      <c r="B3" s="2">
        <v>21.9892417211694</v>
      </c>
      <c r="C3" s="2">
        <v>323.87349999999998</v>
      </c>
      <c r="D3">
        <f t="shared" si="0"/>
        <v>6.7894538210657565E-2</v>
      </c>
      <c r="E3">
        <f t="shared" si="1"/>
        <v>2</v>
      </c>
    </row>
    <row r="4" spans="1:5" ht="18" customHeight="1" x14ac:dyDescent="0.35">
      <c r="A4" s="2" t="s">
        <v>29</v>
      </c>
      <c r="B4" s="2">
        <v>0.79613484142786195</v>
      </c>
      <c r="C4" s="2">
        <v>11.705249999999999</v>
      </c>
      <c r="D4">
        <f t="shared" si="0"/>
        <v>6.8015193304531041E-2</v>
      </c>
      <c r="E4">
        <f t="shared" si="1"/>
        <v>3</v>
      </c>
    </row>
    <row r="5" spans="1:5" ht="25" customHeight="1" x14ac:dyDescent="0.35">
      <c r="A5" s="2" t="s">
        <v>18</v>
      </c>
      <c r="B5" s="2">
        <v>0.84655367485423605</v>
      </c>
      <c r="C5" s="2">
        <v>12.152049999999999</v>
      </c>
      <c r="D5">
        <f t="shared" si="0"/>
        <v>6.9663445661780204E-2</v>
      </c>
      <c r="E5">
        <f t="shared" si="1"/>
        <v>4</v>
      </c>
    </row>
    <row r="6" spans="1:5" ht="14" customHeight="1" x14ac:dyDescent="0.35">
      <c r="A6" s="2" t="s">
        <v>25</v>
      </c>
      <c r="B6" s="2">
        <v>0.82713231449300795</v>
      </c>
      <c r="C6" s="2">
        <v>11.80545</v>
      </c>
      <c r="D6">
        <f t="shared" si="0"/>
        <v>7.006359897276325E-2</v>
      </c>
      <c r="E6">
        <f t="shared" si="1"/>
        <v>5</v>
      </c>
    </row>
    <row r="7" spans="1:5" ht="29.5" customHeight="1" x14ac:dyDescent="0.35">
      <c r="A7" s="2" t="s">
        <v>11</v>
      </c>
      <c r="B7" s="2">
        <v>3.0173835133333702</v>
      </c>
      <c r="C7" s="2">
        <v>42.766800000000003</v>
      </c>
      <c r="D7">
        <f t="shared" si="0"/>
        <v>7.0554343867985675E-2</v>
      </c>
      <c r="E7">
        <f t="shared" si="1"/>
        <v>6</v>
      </c>
    </row>
    <row r="8" spans="1:5" ht="17" customHeight="1" x14ac:dyDescent="0.35">
      <c r="A8" s="2" t="s">
        <v>10</v>
      </c>
      <c r="B8" s="2">
        <v>3.2510724103664601</v>
      </c>
      <c r="C8" s="2">
        <v>45.903350000000003</v>
      </c>
      <c r="D8">
        <f t="shared" si="0"/>
        <v>7.0824295184696975E-2</v>
      </c>
      <c r="E8">
        <f t="shared" si="1"/>
        <v>7</v>
      </c>
    </row>
    <row r="9" spans="1:5" ht="15" customHeight="1" x14ac:dyDescent="0.35">
      <c r="A9" s="2" t="s">
        <v>9</v>
      </c>
      <c r="B9" s="2">
        <v>99.414599772632997</v>
      </c>
      <c r="C9" s="2">
        <v>1387.0196000000001</v>
      </c>
      <c r="D9">
        <f t="shared" si="0"/>
        <v>7.1674978329529723E-2</v>
      </c>
      <c r="E9">
        <f t="shared" si="1"/>
        <v>8</v>
      </c>
    </row>
    <row r="10" spans="1:5" ht="15" customHeight="1" x14ac:dyDescent="0.35">
      <c r="A10" s="2" t="s">
        <v>7</v>
      </c>
      <c r="B10" s="2">
        <v>30.2818551061488</v>
      </c>
      <c r="C10" s="2">
        <v>417.36970000000002</v>
      </c>
      <c r="D10">
        <f t="shared" si="0"/>
        <v>7.2554033285475203E-2</v>
      </c>
      <c r="E10">
        <f t="shared" si="1"/>
        <v>9</v>
      </c>
    </row>
    <row r="11" spans="1:5" ht="14" customHeight="1" x14ac:dyDescent="0.35">
      <c r="A11" s="3" t="s">
        <v>4</v>
      </c>
      <c r="B11" s="3">
        <v>2.9809001462201801</v>
      </c>
      <c r="C11" s="3">
        <v>39.795699999999997</v>
      </c>
      <c r="D11">
        <f t="shared" si="0"/>
        <v>7.4905081358543263E-2</v>
      </c>
      <c r="E11">
        <f t="shared" si="1"/>
        <v>10</v>
      </c>
    </row>
    <row r="12" spans="1:5" ht="16" customHeight="1" x14ac:dyDescent="0.35">
      <c r="A12" s="2" t="s">
        <v>27</v>
      </c>
      <c r="B12" s="2">
        <v>0.90369181184292802</v>
      </c>
      <c r="C12" s="2">
        <v>11.964600000000001</v>
      </c>
      <c r="D12">
        <f t="shared" si="0"/>
        <v>7.5530465861201213E-2</v>
      </c>
      <c r="E12">
        <f t="shared" si="1"/>
        <v>11</v>
      </c>
    </row>
    <row r="13" spans="1:5" ht="13.5" customHeight="1" x14ac:dyDescent="0.35">
      <c r="A13" s="2" t="s">
        <v>23</v>
      </c>
      <c r="B13" s="2">
        <v>89.902656119093905</v>
      </c>
      <c r="C13" s="2">
        <v>1171.9648999999999</v>
      </c>
      <c r="D13">
        <f t="shared" si="0"/>
        <v>7.6711048359122277E-2</v>
      </c>
      <c r="E13">
        <f t="shared" si="1"/>
        <v>12</v>
      </c>
    </row>
  </sheetData>
  <sortState xmlns:xlrd2="http://schemas.microsoft.com/office/spreadsheetml/2017/richdata2" ref="A2:E13">
    <sortCondition ref="E2:E1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CB0FD-8EC4-4B47-87A2-7B7A32788955}">
  <dimension ref="A1:F13"/>
  <sheetViews>
    <sheetView tabSelected="1" workbookViewId="0">
      <selection activeCell="G6" sqref="G6"/>
    </sheetView>
  </sheetViews>
  <sheetFormatPr defaultRowHeight="14.5" x14ac:dyDescent="0.35"/>
  <cols>
    <col min="1" max="1" width="16.81640625" customWidth="1"/>
    <col min="2" max="2" width="31.26953125" customWidth="1"/>
    <col min="3" max="3" width="24.7265625" customWidth="1"/>
    <col min="4" max="4" width="24.54296875" customWidth="1"/>
    <col min="5" max="6" width="24" customWidth="1"/>
  </cols>
  <sheetData>
    <row r="1" spans="1:6" ht="25" customHeight="1" x14ac:dyDescent="0.5">
      <c r="A1" s="32" t="s">
        <v>55</v>
      </c>
      <c r="B1" s="17" t="s">
        <v>50</v>
      </c>
      <c r="C1" s="17" t="s">
        <v>51</v>
      </c>
      <c r="D1" s="17" t="s">
        <v>52</v>
      </c>
      <c r="E1" s="17" t="s">
        <v>53</v>
      </c>
      <c r="F1" s="17" t="s">
        <v>54</v>
      </c>
    </row>
    <row r="2" spans="1:6" ht="24.5" customHeight="1" x14ac:dyDescent="0.35">
      <c r="A2" s="32"/>
      <c r="B2" s="2" t="s">
        <v>17</v>
      </c>
      <c r="C2" s="2" t="s">
        <v>10</v>
      </c>
      <c r="D2" s="3" t="s">
        <v>4</v>
      </c>
      <c r="E2" s="2" t="s">
        <v>25</v>
      </c>
      <c r="F2" s="2" t="s">
        <v>21</v>
      </c>
    </row>
    <row r="3" spans="1:6" ht="20" customHeight="1" x14ac:dyDescent="0.35">
      <c r="A3" s="32"/>
      <c r="B3" s="2" t="s">
        <v>10</v>
      </c>
      <c r="C3" s="2" t="s">
        <v>17</v>
      </c>
      <c r="D3" s="2" t="s">
        <v>7</v>
      </c>
      <c r="E3" s="2" t="s">
        <v>23</v>
      </c>
      <c r="F3" s="2" t="s">
        <v>17</v>
      </c>
    </row>
    <row r="4" spans="1:6" ht="23" customHeight="1" x14ac:dyDescent="0.35">
      <c r="A4" s="32"/>
      <c r="B4" s="2" t="s">
        <v>7</v>
      </c>
      <c r="C4" s="2" t="s">
        <v>11</v>
      </c>
      <c r="D4" s="2" t="s">
        <v>9</v>
      </c>
      <c r="E4" s="3" t="s">
        <v>4</v>
      </c>
      <c r="F4" s="2" t="s">
        <v>29</v>
      </c>
    </row>
    <row r="5" spans="1:6" ht="26.5" customHeight="1" x14ac:dyDescent="0.35">
      <c r="A5" s="32"/>
      <c r="B5" s="2" t="s">
        <v>18</v>
      </c>
      <c r="C5" s="2" t="s">
        <v>7</v>
      </c>
      <c r="D5" s="2" t="s">
        <v>10</v>
      </c>
      <c r="E5" s="2" t="s">
        <v>17</v>
      </c>
      <c r="F5" s="2" t="s">
        <v>18</v>
      </c>
    </row>
    <row r="6" spans="1:6" ht="23.5" customHeight="1" x14ac:dyDescent="0.35">
      <c r="A6" s="32"/>
      <c r="B6" s="3" t="s">
        <v>4</v>
      </c>
      <c r="C6" s="2" t="s">
        <v>9</v>
      </c>
      <c r="D6" s="2" t="s">
        <v>11</v>
      </c>
      <c r="E6" s="2" t="s">
        <v>18</v>
      </c>
      <c r="F6" s="2" t="s">
        <v>25</v>
      </c>
    </row>
    <row r="7" spans="1:6" ht="25.5" customHeight="1" x14ac:dyDescent="0.35">
      <c r="A7" s="32"/>
      <c r="B7" s="2" t="s">
        <v>27</v>
      </c>
      <c r="C7" s="2" t="s">
        <v>21</v>
      </c>
      <c r="D7" s="2" t="s">
        <v>17</v>
      </c>
      <c r="E7" s="2" t="s">
        <v>27</v>
      </c>
      <c r="F7" s="2" t="s">
        <v>11</v>
      </c>
    </row>
    <row r="8" spans="1:6" ht="24.5" customHeight="1" x14ac:dyDescent="0.35">
      <c r="A8" s="32"/>
      <c r="B8" s="2" t="s">
        <v>9</v>
      </c>
      <c r="C8" s="2" t="s">
        <v>18</v>
      </c>
      <c r="D8" s="2" t="s">
        <v>21</v>
      </c>
      <c r="E8" s="2" t="s">
        <v>9</v>
      </c>
      <c r="F8" s="2" t="s">
        <v>10</v>
      </c>
    </row>
    <row r="9" spans="1:6" ht="20" customHeight="1" x14ac:dyDescent="0.35">
      <c r="A9" s="32"/>
      <c r="B9" s="2" t="s">
        <v>11</v>
      </c>
      <c r="C9" s="2" t="s">
        <v>27</v>
      </c>
      <c r="D9" s="2" t="s">
        <v>23</v>
      </c>
      <c r="E9" s="2" t="s">
        <v>10</v>
      </c>
      <c r="F9" s="2" t="s">
        <v>9</v>
      </c>
    </row>
    <row r="10" spans="1:6" ht="23.5" customHeight="1" x14ac:dyDescent="0.35">
      <c r="A10" s="32"/>
      <c r="B10" s="2" t="s">
        <v>25</v>
      </c>
      <c r="C10" s="3" t="s">
        <v>4</v>
      </c>
      <c r="D10" s="2" t="s">
        <v>25</v>
      </c>
      <c r="E10" s="2" t="s">
        <v>29</v>
      </c>
      <c r="F10" s="2" t="s">
        <v>7</v>
      </c>
    </row>
    <row r="11" spans="1:6" ht="22" customHeight="1" x14ac:dyDescent="0.35">
      <c r="A11" s="32"/>
      <c r="B11" s="2" t="s">
        <v>21</v>
      </c>
      <c r="C11" s="2" t="s">
        <v>25</v>
      </c>
      <c r="D11" s="2" t="s">
        <v>27</v>
      </c>
      <c r="E11" s="2" t="s">
        <v>11</v>
      </c>
      <c r="F11" s="3" t="s">
        <v>4</v>
      </c>
    </row>
    <row r="12" spans="1:6" ht="21.5" customHeight="1" x14ac:dyDescent="0.35">
      <c r="A12" s="32"/>
      <c r="B12" s="2" t="s">
        <v>29</v>
      </c>
      <c r="C12" s="2" t="s">
        <v>23</v>
      </c>
      <c r="D12" s="2" t="s">
        <v>29</v>
      </c>
      <c r="E12" s="2" t="s">
        <v>21</v>
      </c>
      <c r="F12" s="2" t="s">
        <v>27</v>
      </c>
    </row>
    <row r="13" spans="1:6" ht="23" customHeight="1" x14ac:dyDescent="0.35">
      <c r="A13" s="32"/>
      <c r="B13" s="2" t="s">
        <v>23</v>
      </c>
      <c r="C13" s="2" t="s">
        <v>29</v>
      </c>
      <c r="D13" s="2" t="s">
        <v>18</v>
      </c>
      <c r="E13" s="2" t="s">
        <v>7</v>
      </c>
      <c r="F13" s="2" t="s">
        <v>23</v>
      </c>
    </row>
  </sheetData>
  <mergeCells count="1">
    <mergeCell ref="A1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TANUSRI BERA</dc:creator>
  <cp:lastModifiedBy>TANUSRI BERA</cp:lastModifiedBy>
  <dcterms:created xsi:type="dcterms:W3CDTF">2025-11-04T13:25:11Z</dcterms:created>
  <dcterms:modified xsi:type="dcterms:W3CDTF">2025-11-05T09:26:09Z</dcterms:modified>
</cp:coreProperties>
</file>